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fada664644eb4d00" Type="http://schemas.microsoft.com/office/2006/relationships/ui/extensibility" Target="customUI/customUI.xml"/><Relationship Id="R88886b5d9d2d4a56"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DieseArbeitsmappe" defaultThemeVersion="124226"/>
  <mc:AlternateContent xmlns:mc="http://schemas.openxmlformats.org/markup-compatibility/2006">
    <mc:Choice Requires="x15">
      <x15ac:absPath xmlns:x15ac="http://schemas.microsoft.com/office/spreadsheetml/2010/11/ac" url="C:\Users\szil\Repos\excel_wizadry\pipe_class_summary\"/>
    </mc:Choice>
  </mc:AlternateContent>
  <xr:revisionPtr revIDLastSave="0" documentId="13_ncr:1_{E9E67154-5A58-40AD-82CE-2420FB28BACB}" xr6:coauthVersionLast="47" xr6:coauthVersionMax="47" xr10:uidLastSave="{00000000-0000-0000-0000-000000000000}"/>
  <bookViews>
    <workbookView xWindow="1560" yWindow="1560" windowWidth="25170" windowHeight="11430" tabRatio="875" firstSheet="3" xr2:uid="{00000000-000D-0000-FFFF-FFFF00000000}"/>
  </bookViews>
  <sheets>
    <sheet name="Class ECCB" sheetId="64" r:id="rId1"/>
    <sheet name="Class ECDB" sheetId="48" r:id="rId2"/>
    <sheet name="Class ECDD" sheetId="71" r:id="rId3"/>
    <sheet name="Class ECEB" sheetId="54" r:id="rId4"/>
    <sheet name="Class ECFB" sheetId="69" r:id="rId5"/>
    <sheet name="Class ECHB" sheetId="67" r:id="rId6"/>
    <sheet name="Class ECJB" sheetId="62" r:id="rId7"/>
    <sheet name="Class ECGA" sheetId="53" r:id="rId8"/>
    <sheet name="Class ECHA" sheetId="70" r:id="rId9"/>
    <sheet name="Class EDHA" sheetId="68" r:id="rId10"/>
    <sheet name="Class EDJA" sheetId="51" r:id="rId11"/>
    <sheet name="Class EDFC" sheetId="56" r:id="rId12"/>
    <sheet name="Class EDHC" sheetId="66" r:id="rId13"/>
    <sheet name="Class EDJC" sheetId="52" r:id="rId14"/>
    <sheet name="Class EBDB" sheetId="63" r:id="rId15"/>
    <sheet name="Class EHDH" sheetId="57" r:id="rId16"/>
    <sheet name="Makro Werte Dok Typ" sheetId="33" state="hidden" r:id="rId17"/>
  </sheets>
  <externalReferences>
    <externalReference r:id="rId18"/>
    <externalReference r:id="rId19"/>
  </externalReferences>
  <definedNames>
    <definedName name="_che1" localSheetId="14">#REF!</definedName>
    <definedName name="_che1" localSheetId="0">#REF!</definedName>
    <definedName name="_che1" localSheetId="3">#REF!</definedName>
    <definedName name="_che1" localSheetId="4">#REF!</definedName>
    <definedName name="_che1" localSheetId="7">#REF!</definedName>
    <definedName name="_che1" localSheetId="8">#REF!</definedName>
    <definedName name="_che1" localSheetId="5">#REF!</definedName>
    <definedName name="_che1" localSheetId="6">#REF!</definedName>
    <definedName name="_che1" localSheetId="11">#REF!</definedName>
    <definedName name="_che1" localSheetId="9">#REF!</definedName>
    <definedName name="_che1" localSheetId="12">#REF!</definedName>
    <definedName name="_che1" localSheetId="10">#REF!</definedName>
    <definedName name="_che1" localSheetId="13">#REF!</definedName>
    <definedName name="_che1" localSheetId="15">#REF!</definedName>
    <definedName name="_che1">#REF!</definedName>
    <definedName name="_che2" localSheetId="14">#REF!</definedName>
    <definedName name="_che2" localSheetId="0">#REF!</definedName>
    <definedName name="_che2" localSheetId="3">#REF!</definedName>
    <definedName name="_che2" localSheetId="4">#REF!</definedName>
    <definedName name="_che2" localSheetId="7">#REF!</definedName>
    <definedName name="_che2" localSheetId="8">#REF!</definedName>
    <definedName name="_che2" localSheetId="5">#REF!</definedName>
    <definedName name="_che2" localSheetId="6">#REF!</definedName>
    <definedName name="_che2" localSheetId="11">#REF!</definedName>
    <definedName name="_che2" localSheetId="9">#REF!</definedName>
    <definedName name="_che2" localSheetId="12">#REF!</definedName>
    <definedName name="_che2" localSheetId="10">#REF!</definedName>
    <definedName name="_che2" localSheetId="13">#REF!</definedName>
    <definedName name="_che2" localSheetId="15">#REF!</definedName>
    <definedName name="_che2">#REF!</definedName>
    <definedName name="_che3" localSheetId="14">#REF!</definedName>
    <definedName name="_che3" localSheetId="0">#REF!</definedName>
    <definedName name="_che3" localSheetId="3">#REF!</definedName>
    <definedName name="_che3" localSheetId="4">#REF!</definedName>
    <definedName name="_che3" localSheetId="7">#REF!</definedName>
    <definedName name="_che3" localSheetId="8">#REF!</definedName>
    <definedName name="_che3" localSheetId="5">#REF!</definedName>
    <definedName name="_che3" localSheetId="6">#REF!</definedName>
    <definedName name="_che3" localSheetId="11">#REF!</definedName>
    <definedName name="_che3" localSheetId="9">#REF!</definedName>
    <definedName name="_che3" localSheetId="12">#REF!</definedName>
    <definedName name="_che3" localSheetId="10">#REF!</definedName>
    <definedName name="_che3" localSheetId="13">#REF!</definedName>
    <definedName name="_che3" localSheetId="15">#REF!</definedName>
    <definedName name="_che3">#REF!</definedName>
    <definedName name="_che4" localSheetId="14">#REF!</definedName>
    <definedName name="_che4" localSheetId="0">#REF!</definedName>
    <definedName name="_che4" localSheetId="3">#REF!</definedName>
    <definedName name="_che4" localSheetId="4">#REF!</definedName>
    <definedName name="_che4" localSheetId="7">#REF!</definedName>
    <definedName name="_che4" localSheetId="8">#REF!</definedName>
    <definedName name="_che4" localSheetId="5">#REF!</definedName>
    <definedName name="_che4" localSheetId="6">#REF!</definedName>
    <definedName name="_che4" localSheetId="11">#REF!</definedName>
    <definedName name="_che4" localSheetId="9">#REF!</definedName>
    <definedName name="_che4" localSheetId="12">#REF!</definedName>
    <definedName name="_che4" localSheetId="10">#REF!</definedName>
    <definedName name="_che4" localSheetId="13">#REF!</definedName>
    <definedName name="_che4" localSheetId="15">#REF!</definedName>
    <definedName name="_che4">#REF!</definedName>
    <definedName name="_che5" localSheetId="14">#REF!</definedName>
    <definedName name="_che5" localSheetId="0">#REF!</definedName>
    <definedName name="_che5" localSheetId="3">#REF!</definedName>
    <definedName name="_che5" localSheetId="4">#REF!</definedName>
    <definedName name="_che5" localSheetId="7">#REF!</definedName>
    <definedName name="_che5" localSheetId="8">#REF!</definedName>
    <definedName name="_che5" localSheetId="5">#REF!</definedName>
    <definedName name="_che5" localSheetId="6">#REF!</definedName>
    <definedName name="_che5" localSheetId="11">#REF!</definedName>
    <definedName name="_che5" localSheetId="9">#REF!</definedName>
    <definedName name="_che5" localSheetId="12">#REF!</definedName>
    <definedName name="_che5" localSheetId="10">#REF!</definedName>
    <definedName name="_che5" localSheetId="13">#REF!</definedName>
    <definedName name="_che5" localSheetId="15">#REF!</definedName>
    <definedName name="_che5">#REF!</definedName>
    <definedName name="_xlnm._FilterDatabase" localSheetId="16" hidden="1">'Makro Werte Dok Typ'!$A$1:$F$142</definedName>
    <definedName name="_own1" localSheetId="2">#REF!</definedName>
    <definedName name="_own1">#REF!</definedName>
    <definedName name="_own2" localSheetId="2">#REF!</definedName>
    <definedName name="_own2">#REF!</definedName>
    <definedName name="_own3" localSheetId="2">#REF!</definedName>
    <definedName name="_own3">#REF!</definedName>
    <definedName name="_own4">#REF!</definedName>
    <definedName name="_own5">#REF!</definedName>
    <definedName name="_rev01">#REF!</definedName>
    <definedName name="_rev02">#REF!</definedName>
    <definedName name="_rev03">#REF!</definedName>
    <definedName name="_rev04">#REF!</definedName>
    <definedName name="_rev05">#REF!</definedName>
    <definedName name="_rev11">#REF!</definedName>
    <definedName name="_rev12">#REF!</definedName>
    <definedName name="_rev13">#REF!</definedName>
    <definedName name="_rev14">#REF!</definedName>
    <definedName name="_rev15">#REF!</definedName>
    <definedName name="_rev21">#REF!</definedName>
    <definedName name="_rev22">#REF!</definedName>
    <definedName name="_rev23">#REF!</definedName>
    <definedName name="_rev24">#REF!</definedName>
    <definedName name="_rev25">#REF!</definedName>
    <definedName name="aic" localSheetId="2">#REF!</definedName>
    <definedName name="aic">#REF!</definedName>
    <definedName name="aktual_kategorie" localSheetId="14">#REF!</definedName>
    <definedName name="aktual_kategorie" localSheetId="0">#REF!</definedName>
    <definedName name="aktual_kategorie" localSheetId="3">#REF!</definedName>
    <definedName name="aktual_kategorie" localSheetId="4">#REF!</definedName>
    <definedName name="aktual_kategorie" localSheetId="7">#REF!</definedName>
    <definedName name="aktual_kategorie" localSheetId="8">#REF!</definedName>
    <definedName name="aktual_kategorie" localSheetId="5">#REF!</definedName>
    <definedName name="aktual_kategorie" localSheetId="6">#REF!</definedName>
    <definedName name="aktual_kategorie" localSheetId="11">#REF!</definedName>
    <definedName name="aktual_kategorie" localSheetId="9">#REF!</definedName>
    <definedName name="aktual_kategorie" localSheetId="12">#REF!</definedName>
    <definedName name="aktual_kategorie" localSheetId="10">#REF!</definedName>
    <definedName name="aktual_kategorie" localSheetId="13">#REF!</definedName>
    <definedName name="aktual_kategorie" localSheetId="15">#REF!</definedName>
    <definedName name="aktual_kategorie">#REF!</definedName>
    <definedName name="alle_rev_nr">#REF!</definedName>
    <definedName name="alle_revisionen">#REF!</definedName>
    <definedName name="anzahl_zeilen" localSheetId="14">#REF!</definedName>
    <definedName name="anzahl_zeilen" localSheetId="0">#REF!</definedName>
    <definedName name="anzahl_zeilen" localSheetId="3">#REF!</definedName>
    <definedName name="anzahl_zeilen" localSheetId="4">#REF!</definedName>
    <definedName name="anzahl_zeilen" localSheetId="7">#REF!</definedName>
    <definedName name="anzahl_zeilen" localSheetId="8">#REF!</definedName>
    <definedName name="anzahl_zeilen" localSheetId="5">#REF!</definedName>
    <definedName name="anzahl_zeilen" localSheetId="6">#REF!</definedName>
    <definedName name="anzahl_zeilen" localSheetId="11">#REF!</definedName>
    <definedName name="anzahl_zeilen" localSheetId="9">#REF!</definedName>
    <definedName name="anzahl_zeilen" localSheetId="12">#REF!</definedName>
    <definedName name="anzahl_zeilen" localSheetId="10">#REF!</definedName>
    <definedName name="anzahl_zeilen" localSheetId="13">#REF!</definedName>
    <definedName name="anzahl_zeilen" localSheetId="15">#REF!</definedName>
    <definedName name="anzahl_zeilen">#REF!</definedName>
    <definedName name="approver_date_0" localSheetId="2">#REF!</definedName>
    <definedName name="approver_date_0">#REF!</definedName>
    <definedName name="approver_date_1" localSheetId="2">#REF!</definedName>
    <definedName name="approver_date_1">#REF!</definedName>
    <definedName name="approver_date_2" localSheetId="2">#REF!</definedName>
    <definedName name="approver_date_2">#REF!</definedName>
    <definedName name="approver_date_3" localSheetId="2">#REF!</definedName>
    <definedName name="approver_date_3">#REF!</definedName>
    <definedName name="approver_name_0" localSheetId="2">#REF!</definedName>
    <definedName name="approver_name_0">#REF!</definedName>
    <definedName name="approver_name_1" localSheetId="2">#REF!</definedName>
    <definedName name="approver_name_1">#REF!</definedName>
    <definedName name="approver_name_2" localSheetId="2">#REF!</definedName>
    <definedName name="approver_name_2">#REF!</definedName>
    <definedName name="approver_name_3" localSheetId="2">#REF!</definedName>
    <definedName name="approver_name_3">#REF!</definedName>
    <definedName name="author_date_0" localSheetId="2">#REF!</definedName>
    <definedName name="author_date_0">#REF!</definedName>
    <definedName name="author_date_1" localSheetId="2">#REF!</definedName>
    <definedName name="author_date_1">#REF!</definedName>
    <definedName name="author_date_2" localSheetId="2">#REF!</definedName>
    <definedName name="author_date_2">#REF!</definedName>
    <definedName name="author_date_3" localSheetId="2">#REF!</definedName>
    <definedName name="author_date_3">#REF!</definedName>
    <definedName name="author_name_0" localSheetId="2">#REF!</definedName>
    <definedName name="author_name_0">#REF!</definedName>
    <definedName name="author_name_1" localSheetId="2">#REF!</definedName>
    <definedName name="author_name_1">#REF!</definedName>
    <definedName name="author_name_2" localSheetId="2">#REF!</definedName>
    <definedName name="author_name_2">#REF!</definedName>
    <definedName name="author_name_3" localSheetId="2">#REF!</definedName>
    <definedName name="author_name_3">#REF!</definedName>
    <definedName name="bezeichnung">'Makro Werte Dok Typ'!$B$1</definedName>
    <definedName name="che0" localSheetId="14">#REF!</definedName>
    <definedName name="che0" localSheetId="0">#REF!</definedName>
    <definedName name="che0" localSheetId="3">#REF!</definedName>
    <definedName name="che0" localSheetId="4">#REF!</definedName>
    <definedName name="che0" localSheetId="7">#REF!</definedName>
    <definedName name="che0" localSheetId="8">#REF!</definedName>
    <definedName name="che0" localSheetId="5">#REF!</definedName>
    <definedName name="che0" localSheetId="6">#REF!</definedName>
    <definedName name="che0" localSheetId="11">#REF!</definedName>
    <definedName name="che0" localSheetId="9">#REF!</definedName>
    <definedName name="che0" localSheetId="12">#REF!</definedName>
    <definedName name="che0" localSheetId="10">#REF!</definedName>
    <definedName name="che0" localSheetId="13">#REF!</definedName>
    <definedName name="che0" localSheetId="15">#REF!</definedName>
    <definedName name="che0">#REF!</definedName>
    <definedName name="contractor" localSheetId="2">#REF!</definedName>
    <definedName name="contractor">#REF!</definedName>
    <definedName name="datei" localSheetId="14">#REF!</definedName>
    <definedName name="datei" localSheetId="0">#REF!</definedName>
    <definedName name="datei" localSheetId="3">#REF!</definedName>
    <definedName name="datei" localSheetId="4">#REF!</definedName>
    <definedName name="datei" localSheetId="7">#REF!</definedName>
    <definedName name="datei" localSheetId="8">#REF!</definedName>
    <definedName name="datei" localSheetId="5">#REF!</definedName>
    <definedName name="datei" localSheetId="6">#REF!</definedName>
    <definedName name="datei" localSheetId="11">#REF!</definedName>
    <definedName name="datei" localSheetId="9">#REF!</definedName>
    <definedName name="datei" localSheetId="12">#REF!</definedName>
    <definedName name="datei" localSheetId="10">#REF!</definedName>
    <definedName name="datei" localSheetId="13">#REF!</definedName>
    <definedName name="datei" localSheetId="15">#REF!</definedName>
    <definedName name="datei">#REF!</definedName>
    <definedName name="dche0" localSheetId="14">#REF!</definedName>
    <definedName name="dche0" localSheetId="0">#REF!</definedName>
    <definedName name="dche0" localSheetId="3">#REF!</definedName>
    <definedName name="dche0" localSheetId="4">#REF!</definedName>
    <definedName name="dche0" localSheetId="7">#REF!</definedName>
    <definedName name="dche0" localSheetId="8">#REF!</definedName>
    <definedName name="dche0" localSheetId="5">#REF!</definedName>
    <definedName name="dche0" localSheetId="6">#REF!</definedName>
    <definedName name="dche0" localSheetId="11">#REF!</definedName>
    <definedName name="dche0" localSheetId="9">#REF!</definedName>
    <definedName name="dche0" localSheetId="12">#REF!</definedName>
    <definedName name="dche0" localSheetId="10">#REF!</definedName>
    <definedName name="dche0" localSheetId="13">#REF!</definedName>
    <definedName name="dche0" localSheetId="15">#REF!</definedName>
    <definedName name="dche0">#REF!</definedName>
    <definedName name="dche1" localSheetId="14">#REF!</definedName>
    <definedName name="dche1" localSheetId="0">#REF!</definedName>
    <definedName name="dche1" localSheetId="3">#REF!</definedName>
    <definedName name="dche1" localSheetId="4">#REF!</definedName>
    <definedName name="dche1" localSheetId="7">#REF!</definedName>
    <definedName name="dche1" localSheetId="8">#REF!</definedName>
    <definedName name="dche1" localSheetId="5">#REF!</definedName>
    <definedName name="dche1" localSheetId="6">#REF!</definedName>
    <definedName name="dche1" localSheetId="11">#REF!</definedName>
    <definedName name="dche1" localSheetId="9">#REF!</definedName>
    <definedName name="dche1" localSheetId="12">#REF!</definedName>
    <definedName name="dche1" localSheetId="10">#REF!</definedName>
    <definedName name="dche1" localSheetId="13">#REF!</definedName>
    <definedName name="dche1" localSheetId="15">#REF!</definedName>
    <definedName name="dche1">#REF!</definedName>
    <definedName name="dche2" localSheetId="14">#REF!</definedName>
    <definedName name="dche2" localSheetId="0">#REF!</definedName>
    <definedName name="dche2" localSheetId="3">#REF!</definedName>
    <definedName name="dche2" localSheetId="4">#REF!</definedName>
    <definedName name="dche2" localSheetId="7">#REF!</definedName>
    <definedName name="dche2" localSheetId="8">#REF!</definedName>
    <definedName name="dche2" localSheetId="5">#REF!</definedName>
    <definedName name="dche2" localSheetId="6">#REF!</definedName>
    <definedName name="dche2" localSheetId="11">#REF!</definedName>
    <definedName name="dche2" localSheetId="9">#REF!</definedName>
    <definedName name="dche2" localSheetId="12">#REF!</definedName>
    <definedName name="dche2" localSheetId="10">#REF!</definedName>
    <definedName name="dche2" localSheetId="13">#REF!</definedName>
    <definedName name="dche2" localSheetId="15">#REF!</definedName>
    <definedName name="dche2">#REF!</definedName>
    <definedName name="dche3" localSheetId="14">#REF!</definedName>
    <definedName name="dche3" localSheetId="0">#REF!</definedName>
    <definedName name="dche3" localSheetId="3">#REF!</definedName>
    <definedName name="dche3" localSheetId="4">#REF!</definedName>
    <definedName name="dche3" localSheetId="7">#REF!</definedName>
    <definedName name="dche3" localSheetId="8">#REF!</definedName>
    <definedName name="dche3" localSheetId="5">#REF!</definedName>
    <definedName name="dche3" localSheetId="6">#REF!</definedName>
    <definedName name="dche3" localSheetId="11">#REF!</definedName>
    <definedName name="dche3" localSheetId="9">#REF!</definedName>
    <definedName name="dche3" localSheetId="12">#REF!</definedName>
    <definedName name="dche3" localSheetId="10">#REF!</definedName>
    <definedName name="dche3" localSheetId="13">#REF!</definedName>
    <definedName name="dche3" localSheetId="15">#REF!</definedName>
    <definedName name="dche3">#REF!</definedName>
    <definedName name="dche4" localSheetId="14">#REF!</definedName>
    <definedName name="dche4" localSheetId="0">#REF!</definedName>
    <definedName name="dche4" localSheetId="3">#REF!</definedName>
    <definedName name="dche4" localSheetId="4">#REF!</definedName>
    <definedName name="dche4" localSheetId="7">#REF!</definedName>
    <definedName name="dche4" localSheetId="8">#REF!</definedName>
    <definedName name="dche4" localSheetId="5">#REF!</definedName>
    <definedName name="dche4" localSheetId="6">#REF!</definedName>
    <definedName name="dche4" localSheetId="11">#REF!</definedName>
    <definedName name="dche4" localSheetId="9">#REF!</definedName>
    <definedName name="dche4" localSheetId="12">#REF!</definedName>
    <definedName name="dche4" localSheetId="10">#REF!</definedName>
    <definedName name="dche4" localSheetId="13">#REF!</definedName>
    <definedName name="dche4" localSheetId="15">#REF!</definedName>
    <definedName name="dche4">#REF!</definedName>
    <definedName name="dche5" localSheetId="14">#REF!</definedName>
    <definedName name="dche5" localSheetId="0">#REF!</definedName>
    <definedName name="dche5" localSheetId="3">#REF!</definedName>
    <definedName name="dche5" localSheetId="4">#REF!</definedName>
    <definedName name="dche5" localSheetId="7">#REF!</definedName>
    <definedName name="dche5" localSheetId="8">#REF!</definedName>
    <definedName name="dche5" localSheetId="5">#REF!</definedName>
    <definedName name="dche5" localSheetId="6">#REF!</definedName>
    <definedName name="dche5" localSheetId="11">#REF!</definedName>
    <definedName name="dche5" localSheetId="9">#REF!</definedName>
    <definedName name="dche5" localSheetId="12">#REF!</definedName>
    <definedName name="dche5" localSheetId="10">#REF!</definedName>
    <definedName name="dche5" localSheetId="13">#REF!</definedName>
    <definedName name="dche5" localSheetId="15">#REF!</definedName>
    <definedName name="dche5">#REF!</definedName>
    <definedName name="descr_1" localSheetId="2">#REF!</definedName>
    <definedName name="descr_1">#REF!</definedName>
    <definedName name="descr_2" localSheetId="2">#REF!</definedName>
    <definedName name="descr_2">#REF!</definedName>
    <definedName name="descr_3" localSheetId="2">#REF!</definedName>
    <definedName name="descr_3">#REF!</definedName>
    <definedName name="dname" localSheetId="2">#REF!</definedName>
    <definedName name="dname">#REF!</definedName>
    <definedName name="dnummer" localSheetId="2">#REF!</definedName>
    <definedName name="dnummer">#REF!</definedName>
    <definedName name="doc_name" localSheetId="2">#REF!</definedName>
    <definedName name="doc_name">#REF!</definedName>
    <definedName name="doctype" localSheetId="2">#REF!</definedName>
    <definedName name="doctype">#REF!</definedName>
    <definedName name="doktyp">'Makro Werte Dok Typ'!$A$1</definedName>
    <definedName name="down0" localSheetId="2">#REF!</definedName>
    <definedName name="down0">#REF!</definedName>
    <definedName name="down1" localSheetId="2">#REF!</definedName>
    <definedName name="down1">#REF!</definedName>
    <definedName name="down2" localSheetId="2">#REF!</definedName>
    <definedName name="down2">#REF!</definedName>
    <definedName name="down3">#REF!</definedName>
    <definedName name="down4">#REF!</definedName>
    <definedName name="down5">#REF!</definedName>
    <definedName name="dprod0">#REF!</definedName>
    <definedName name="dprod1">#REF!</definedName>
    <definedName name="dprod2">#REF!</definedName>
    <definedName name="dprod3">#REF!</definedName>
    <definedName name="dprod4">#REF!</definedName>
    <definedName name="dprod5">#REF!</definedName>
    <definedName name="dresp0">#REF!</definedName>
    <definedName name="dresp1">#REF!</definedName>
    <definedName name="dresp2">#REF!</definedName>
    <definedName name="dresp3">#REF!</definedName>
    <definedName name="dresp4">#REF!</definedName>
    <definedName name="dresp5">#REF!</definedName>
    <definedName name="excelDatei">'Makro Werte Dok Typ'!$E$1</definedName>
    <definedName name="first_issue" localSheetId="2">#REF!</definedName>
    <definedName name="first_issue">#REF!</definedName>
    <definedName name="hzi_doc_no_rev" localSheetId="2">#REF!</definedName>
    <definedName name="hzi_doc_no_rev">#REF!</definedName>
    <definedName name="lieferant">'Makro Werte Dok Typ'!$C$1</definedName>
    <definedName name="makro_ein_aus" localSheetId="14">#REF!</definedName>
    <definedName name="makro_ein_aus" localSheetId="0">#REF!</definedName>
    <definedName name="makro_ein_aus" localSheetId="3">#REF!</definedName>
    <definedName name="makro_ein_aus" localSheetId="4">#REF!</definedName>
    <definedName name="makro_ein_aus" localSheetId="7">#REF!</definedName>
    <definedName name="makro_ein_aus" localSheetId="8">#REF!</definedName>
    <definedName name="makro_ein_aus" localSheetId="5">#REF!</definedName>
    <definedName name="makro_ein_aus" localSheetId="6">#REF!</definedName>
    <definedName name="makro_ein_aus" localSheetId="11">#REF!</definedName>
    <definedName name="makro_ein_aus" localSheetId="9">#REF!</definedName>
    <definedName name="makro_ein_aus" localSheetId="12">#REF!</definedName>
    <definedName name="makro_ein_aus" localSheetId="10">#REF!</definedName>
    <definedName name="makro_ein_aus" localSheetId="13">#REF!</definedName>
    <definedName name="makro_ein_aus" localSheetId="15">#REF!</definedName>
    <definedName name="makro_ein_aus">#REF!</definedName>
    <definedName name="n_aic" localSheetId="2">#REF!</definedName>
    <definedName name="n_aic">#REF!</definedName>
    <definedName name="n_contractor" localSheetId="2">#REF!</definedName>
    <definedName name="n_contractor">#REF!</definedName>
    <definedName name="n_datum_approver" localSheetId="2">#REF!</definedName>
    <definedName name="n_datum_approver">#REF!</definedName>
    <definedName name="n_datum_author" localSheetId="2">#REF!</definedName>
    <definedName name="n_datum_author">#REF!</definedName>
    <definedName name="n_datum_reviewer" localSheetId="2">#REF!</definedName>
    <definedName name="n_datum_reviewer">#REF!</definedName>
    <definedName name="n_doctype" localSheetId="2">#REF!</definedName>
    <definedName name="n_doctype">#REF!</definedName>
    <definedName name="n_first_issue" localSheetId="2">#REF!</definedName>
    <definedName name="n_first_issue">#REF!</definedName>
    <definedName name="n_hzi_doc_no_rev" localSheetId="2">#REF!</definedName>
    <definedName name="n_hzi_doc_no_rev">#REF!</definedName>
    <definedName name="n_issued_by" localSheetId="2">#REF!</definedName>
    <definedName name="n_issued_by">#REF!</definedName>
    <definedName name="n_project_name" localSheetId="2">#REF!</definedName>
    <definedName name="n_project_name">#REF!</definedName>
    <definedName name="n_project_number" localSheetId="2">#REF!</definedName>
    <definedName name="n_project_number">#REF!</definedName>
    <definedName name="own0" localSheetId="2">#REF!</definedName>
    <definedName name="own0">#REF!</definedName>
    <definedName name="pfad" localSheetId="14">#REF!</definedName>
    <definedName name="pfad" localSheetId="0">#REF!</definedName>
    <definedName name="pfad" localSheetId="3">#REF!</definedName>
    <definedName name="pfad" localSheetId="4">#REF!</definedName>
    <definedName name="pfad" localSheetId="7">#REF!</definedName>
    <definedName name="pfad" localSheetId="8">#REF!</definedName>
    <definedName name="pfad" localSheetId="5">#REF!</definedName>
    <definedName name="pfad" localSheetId="6">#REF!</definedName>
    <definedName name="pfad" localSheetId="11">#REF!</definedName>
    <definedName name="pfad" localSheetId="9">#REF!</definedName>
    <definedName name="pfad" localSheetId="12">#REF!</definedName>
    <definedName name="pfad" localSheetId="10">#REF!</definedName>
    <definedName name="pfad" localSheetId="13">#REF!</definedName>
    <definedName name="pfad" localSheetId="15">#REF!</definedName>
    <definedName name="pfad">#REF!</definedName>
    <definedName name="pname" localSheetId="2">#REF!</definedName>
    <definedName name="pname">#REF!</definedName>
    <definedName name="pnummer" localSheetId="2">#REF!</definedName>
    <definedName name="pnummer">#REF!</definedName>
    <definedName name="_xlnm.Print_Area" localSheetId="14">'Class EBDB'!$A$1:$AQ$80</definedName>
    <definedName name="_xlnm.Print_Area" localSheetId="0">'Class ECCB'!$A$1:$AQ$80</definedName>
    <definedName name="_xlnm.Print_Area" localSheetId="1">'Class ECDB'!$A$1:$AQ$80</definedName>
    <definedName name="_xlnm.Print_Area" localSheetId="2">'Class ECDD'!$A$1:$AQ$79</definedName>
    <definedName name="_xlnm.Print_Area" localSheetId="3">'Class ECEB'!$A$1:$AQ$80</definedName>
    <definedName name="_xlnm.Print_Area" localSheetId="4">'Class ECFB'!$A$1:$AQ$80</definedName>
    <definedName name="_xlnm.Print_Area" localSheetId="7">'Class ECGA'!$A$1:$AQ$80</definedName>
    <definedName name="_xlnm.Print_Area" localSheetId="8">'Class ECHA'!$A$1:$AQ$80</definedName>
    <definedName name="_xlnm.Print_Area" localSheetId="5">'Class ECHB'!$A$1:$AQ$80</definedName>
    <definedName name="_xlnm.Print_Area" localSheetId="6">'Class ECJB'!$A$1:$AQ$80</definedName>
    <definedName name="_xlnm.Print_Area" localSheetId="11">'Class EDFC'!$A$1:$AQ$80</definedName>
    <definedName name="_xlnm.Print_Area" localSheetId="9">'Class EDHA'!$A$1:$AQ$80</definedName>
    <definedName name="_xlnm.Print_Area" localSheetId="12">'Class EDHC'!$A$1:$AQ$80</definedName>
    <definedName name="_xlnm.Print_Area" localSheetId="10">'Class EDJA'!$A$1:$AQ$80</definedName>
    <definedName name="_xlnm.Print_Area" localSheetId="13">'Class EDJC'!$A$1:$AQ$80</definedName>
    <definedName name="_xlnm.Print_Area" localSheetId="15">'Class EHDH'!$A$1:$AQ$80</definedName>
    <definedName name="prod0" localSheetId="2">#REF!</definedName>
    <definedName name="prod0">#REF!</definedName>
    <definedName name="prod1" localSheetId="2">#REF!</definedName>
    <definedName name="prod1">#REF!</definedName>
    <definedName name="prod2" localSheetId="2">#REF!</definedName>
    <definedName name="prod2">#REF!</definedName>
    <definedName name="prod3">#REF!</definedName>
    <definedName name="prod4">#REF!</definedName>
    <definedName name="prod5">#REF!</definedName>
    <definedName name="prodrev5">#REF!</definedName>
    <definedName name="project_name" localSheetId="2">#REF!</definedName>
    <definedName name="project_name">#REF!</definedName>
    <definedName name="project_number" localSheetId="2">#REF!</definedName>
    <definedName name="project_number">#REF!</definedName>
    <definedName name="resp0" localSheetId="2">#REF!</definedName>
    <definedName name="resp0">#REF!</definedName>
    <definedName name="resp1" localSheetId="2">#REF!</definedName>
    <definedName name="resp1">#REF!</definedName>
    <definedName name="resp2" localSheetId="2">#REF!</definedName>
    <definedName name="resp2">#REF!</definedName>
    <definedName name="resp3">#REF!</definedName>
    <definedName name="resp4">#REF!</definedName>
    <definedName name="resp5">#REF!</definedName>
    <definedName name="rev_0" localSheetId="2">#REF!</definedName>
    <definedName name="rev_0">#REF!</definedName>
    <definedName name="rev_1" localSheetId="2">#REF!</definedName>
    <definedName name="rev_1">#REF!</definedName>
    <definedName name="rev_2" localSheetId="2">#REF!</definedName>
    <definedName name="rev_2">#REF!</definedName>
    <definedName name="rev_3" localSheetId="2">#REF!</definedName>
    <definedName name="rev_3">#REF!</definedName>
    <definedName name="rev_kopierbereich" localSheetId="2">#REF!</definedName>
    <definedName name="rev_kopierbereich">#REF!</definedName>
    <definedName name="rev00" localSheetId="2">#REF!</definedName>
    <definedName name="rev00">#REF!</definedName>
    <definedName name="reviewer_date_0" localSheetId="2">#REF!</definedName>
    <definedName name="reviewer_date_0">#REF!</definedName>
    <definedName name="reviewer_date_1" localSheetId="2">#REF!</definedName>
    <definedName name="reviewer_date_1">#REF!</definedName>
    <definedName name="reviewer_date_2" localSheetId="2">#REF!</definedName>
    <definedName name="reviewer_date_2">#REF!</definedName>
    <definedName name="reviewer_date_3" localSheetId="2">#REF!</definedName>
    <definedName name="reviewer_date_3">#REF!</definedName>
    <definedName name="reviewer_name_0" localSheetId="2">#REF!</definedName>
    <definedName name="reviewer_name_0">#REF!</definedName>
    <definedName name="reviewer_name_1" localSheetId="2">#REF!</definedName>
    <definedName name="reviewer_name_1">#REF!</definedName>
    <definedName name="reviewer_name_2" localSheetId="2">#REF!</definedName>
    <definedName name="reviewer_name_2">#REF!</definedName>
    <definedName name="reviewer_name_3" localSheetId="2">#REF!</definedName>
    <definedName name="reviewer_name_3">#REF!</definedName>
    <definedName name="revisionen" localSheetId="2">#REF!</definedName>
    <definedName name="revisionen">#REF!</definedName>
    <definedName name="spezifisch">'Makro Werte Dok Typ'!$H$1</definedName>
    <definedName name="suchwert" localSheetId="14">#REF!</definedName>
    <definedName name="suchwert" localSheetId="0">#REF!</definedName>
    <definedName name="suchwert" localSheetId="3">#REF!</definedName>
    <definedName name="suchwert" localSheetId="4">#REF!</definedName>
    <definedName name="suchwert" localSheetId="7">#REF!</definedName>
    <definedName name="suchwert" localSheetId="8">#REF!</definedName>
    <definedName name="suchwert" localSheetId="5">#REF!</definedName>
    <definedName name="suchwert" localSheetId="6">#REF!</definedName>
    <definedName name="suchwert" localSheetId="11">#REF!</definedName>
    <definedName name="suchwert" localSheetId="9">#REF!</definedName>
    <definedName name="suchwert" localSheetId="12">#REF!</definedName>
    <definedName name="suchwert" localSheetId="10">#REF!</definedName>
    <definedName name="suchwert" localSheetId="13">#REF!</definedName>
    <definedName name="suchwert" localSheetId="15">#REF!</definedName>
    <definedName name="suchwert">#REF!</definedName>
    <definedName name="supplier">#REF!</definedName>
    <definedName name="template_nr" localSheetId="2">#REF!</definedName>
    <definedName name="template_nr">#REF!</definedName>
    <definedName name="text_anpassen" localSheetId="14">#REF!</definedName>
    <definedName name="text_anpassen" localSheetId="0">#REF!</definedName>
    <definedName name="text_anpassen" localSheetId="3">#REF!</definedName>
    <definedName name="text_anpassen" localSheetId="4">#REF!</definedName>
    <definedName name="text_anpassen" localSheetId="7">#REF!</definedName>
    <definedName name="text_anpassen" localSheetId="8">#REF!</definedName>
    <definedName name="text_anpassen" localSheetId="5">#REF!</definedName>
    <definedName name="text_anpassen" localSheetId="6">#REF!</definedName>
    <definedName name="text_anpassen" localSheetId="11">#REF!</definedName>
    <definedName name="text_anpassen" localSheetId="9">#REF!</definedName>
    <definedName name="text_anpassen" localSheetId="12">#REF!</definedName>
    <definedName name="text_anpassen" localSheetId="10">#REF!</definedName>
    <definedName name="text_anpassen" localSheetId="13">#REF!</definedName>
    <definedName name="text_anpassen" localSheetId="15">#REF!</definedName>
    <definedName name="text_anpassen">#REF!</definedName>
    <definedName name="text_auto_fill">'[1]Makro Werte'!$B$7</definedName>
    <definedName name="vorlagennummer" localSheetId="2">#REF!</definedName>
    <definedName name="vorlagennummer">#REF!</definedName>
    <definedName name="word" localSheetId="2">#REF!</definedName>
    <definedName name="wor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1" i="56" l="1"/>
  <c r="AL1" i="69"/>
  <c r="AJ1" i="54"/>
  <c r="AK1" i="54"/>
  <c r="AL1" i="54"/>
  <c r="AJ1" i="48"/>
  <c r="AK1" i="48"/>
  <c r="AL1" i="48"/>
  <c r="AL1" i="63"/>
  <c r="AL4" i="63"/>
  <c r="AL3" i="63"/>
  <c r="AL2" i="63"/>
  <c r="AL1" i="51"/>
  <c r="AL1" i="68"/>
  <c r="AL1" i="70"/>
  <c r="AL1" i="53"/>
  <c r="AL1" i="62"/>
  <c r="AL1" i="67"/>
  <c r="AL1" i="71"/>
  <c r="AL4" i="57"/>
  <c r="AL3" i="57"/>
  <c r="AL2" i="57"/>
  <c r="AL1" i="57"/>
  <c r="AL1" i="52"/>
  <c r="AL1" i="66"/>
  <c r="AL4" i="64" l="1"/>
  <c r="AL3" i="64"/>
  <c r="AL2" i="64"/>
  <c r="AL4" i="48"/>
  <c r="AL3" i="48"/>
  <c r="AL2" i="48"/>
  <c r="AL4" i="54"/>
  <c r="AL3" i="54"/>
  <c r="AL2" i="54"/>
  <c r="AL4" i="69"/>
  <c r="AL3" i="69"/>
  <c r="AL2" i="69"/>
  <c r="AL4" i="67"/>
  <c r="AL3" i="67"/>
  <c r="AL2" i="67"/>
  <c r="AL4" i="62"/>
  <c r="AL3" i="62"/>
  <c r="AL2" i="62"/>
  <c r="AL4" i="53"/>
  <c r="AL3" i="53"/>
  <c r="AL2" i="53"/>
  <c r="AL4" i="70"/>
  <c r="AL3" i="70"/>
  <c r="AL2" i="70"/>
  <c r="AL4" i="68"/>
  <c r="AL3" i="68"/>
  <c r="AL2" i="68"/>
  <c r="AL4" i="51"/>
  <c r="AL3" i="51"/>
  <c r="AL2" i="51"/>
  <c r="AL4" i="56"/>
  <c r="AL3" i="56"/>
  <c r="AL2" i="56"/>
  <c r="AL4" i="66"/>
  <c r="AL3" i="66"/>
  <c r="AL2" i="66"/>
  <c r="E12" i="57"/>
  <c r="F12" i="57"/>
  <c r="D12" i="57"/>
  <c r="C12" i="57"/>
  <c r="D12" i="63"/>
  <c r="C12" i="63"/>
  <c r="E12" i="52"/>
  <c r="C12" i="52"/>
  <c r="E12" i="66" l="1"/>
  <c r="C12" i="66"/>
  <c r="E12" i="56"/>
  <c r="C12" i="56"/>
  <c r="E12" i="51"/>
  <c r="C12" i="51"/>
  <c r="E12" i="68"/>
  <c r="C12" i="68"/>
  <c r="E12" i="70"/>
  <c r="C12" i="70"/>
  <c r="E12" i="53"/>
  <c r="C12" i="53"/>
  <c r="E12" i="62"/>
  <c r="C12" i="62"/>
  <c r="E12" i="67"/>
  <c r="C12" i="67"/>
  <c r="C12" i="69"/>
  <c r="C12" i="54"/>
  <c r="C12" i="48" l="1"/>
  <c r="C79" i="71" l="1"/>
  <c r="Y79" i="71" s="1"/>
  <c r="E79" i="71"/>
  <c r="AA79" i="71" s="1"/>
  <c r="H78" i="71"/>
  <c r="AD78" i="71" s="1"/>
  <c r="A79" i="71"/>
  <c r="W79" i="71" s="1"/>
  <c r="AP4" i="71"/>
  <c r="AL4" i="71"/>
  <c r="AP3" i="71"/>
  <c r="AL3" i="71"/>
  <c r="AP2" i="71"/>
  <c r="AL2" i="71"/>
  <c r="Y2" i="71"/>
  <c r="AP1" i="71"/>
  <c r="E80" i="70" l="1"/>
  <c r="AA80" i="70" s="1"/>
  <c r="C80" i="70"/>
  <c r="Y80" i="70" s="1"/>
  <c r="A80" i="70"/>
  <c r="W80" i="70" s="1"/>
  <c r="H79" i="70"/>
  <c r="AD79" i="70" s="1"/>
  <c r="N12" i="70"/>
  <c r="M12" i="70"/>
  <c r="L12" i="70"/>
  <c r="K12" i="70"/>
  <c r="J12" i="70"/>
  <c r="I12" i="70"/>
  <c r="H12" i="70"/>
  <c r="G12" i="70"/>
  <c r="AP4" i="70"/>
  <c r="AP3" i="70"/>
  <c r="AP2" i="70"/>
  <c r="Y2" i="70"/>
  <c r="AP1" i="70"/>
  <c r="H79" i="57" l="1"/>
  <c r="H79" i="63"/>
  <c r="H79" i="52"/>
  <c r="H79" i="66"/>
  <c r="H79" i="56"/>
  <c r="H79" i="51"/>
  <c r="H79" i="68"/>
  <c r="H79" i="53"/>
  <c r="H79" i="62"/>
  <c r="H79" i="67"/>
  <c r="H79" i="69"/>
  <c r="AD79" i="69" s="1"/>
  <c r="H79" i="54"/>
  <c r="H79" i="48"/>
  <c r="H79" i="64"/>
  <c r="E80" i="69"/>
  <c r="AA80" i="69" s="1"/>
  <c r="C80" i="69"/>
  <c r="Y80" i="69" s="1"/>
  <c r="A80" i="69"/>
  <c r="W80" i="69" s="1"/>
  <c r="R12" i="69"/>
  <c r="Q12" i="69"/>
  <c r="P12" i="69"/>
  <c r="O12" i="69"/>
  <c r="N12" i="69"/>
  <c r="M12" i="69"/>
  <c r="L12" i="69"/>
  <c r="K12" i="69"/>
  <c r="J12" i="69"/>
  <c r="I12" i="69"/>
  <c r="H12" i="69"/>
  <c r="G12" i="69"/>
  <c r="E12" i="69"/>
  <c r="AP4" i="69"/>
  <c r="AP3" i="69"/>
  <c r="AP2" i="69"/>
  <c r="Y2" i="69"/>
  <c r="AP1" i="69"/>
  <c r="AL4" i="52" l="1"/>
  <c r="AL3" i="52"/>
  <c r="AL2" i="52"/>
  <c r="E80" i="57" l="1"/>
  <c r="C80" i="57"/>
  <c r="E80" i="63"/>
  <c r="C80" i="63"/>
  <c r="E80" i="52"/>
  <c r="C80" i="52"/>
  <c r="E80" i="56"/>
  <c r="C80" i="56"/>
  <c r="E80" i="51"/>
  <c r="C80" i="51"/>
  <c r="E80" i="68"/>
  <c r="C80" i="68"/>
  <c r="E80" i="53"/>
  <c r="C80" i="53"/>
  <c r="E80" i="54"/>
  <c r="C80" i="54"/>
  <c r="E80" i="48"/>
  <c r="C80" i="48"/>
  <c r="E80" i="66"/>
  <c r="C80" i="66"/>
  <c r="E80" i="64"/>
  <c r="C80" i="64"/>
  <c r="Q12" i="66"/>
  <c r="R12" i="66"/>
  <c r="E80" i="62" l="1"/>
  <c r="C80" i="62"/>
  <c r="E80" i="67"/>
  <c r="C80" i="67"/>
  <c r="I12" i="51" l="1"/>
  <c r="I12" i="68"/>
  <c r="AA80" i="68" l="1"/>
  <c r="Y80" i="68"/>
  <c r="A80" i="68"/>
  <c r="W80" i="68" s="1"/>
  <c r="AD79" i="68"/>
  <c r="N12" i="68"/>
  <c r="M12" i="68"/>
  <c r="L12" i="68"/>
  <c r="K12" i="68"/>
  <c r="J12" i="68"/>
  <c r="H12" i="68"/>
  <c r="G12" i="68"/>
  <c r="AP4" i="68"/>
  <c r="AP3" i="68"/>
  <c r="AP2" i="68"/>
  <c r="Y2" i="68"/>
  <c r="AP1" i="68"/>
  <c r="I12" i="67" l="1"/>
  <c r="AA80" i="67" l="1"/>
  <c r="Y80" i="67"/>
  <c r="A80" i="67"/>
  <c r="W80" i="67" s="1"/>
  <c r="AD79" i="67"/>
  <c r="K12" i="67"/>
  <c r="J12" i="67"/>
  <c r="H12" i="67"/>
  <c r="G12" i="67"/>
  <c r="AP4" i="67"/>
  <c r="AP3" i="67"/>
  <c r="AP2" i="67"/>
  <c r="Y2" i="67"/>
  <c r="AP1" i="67"/>
  <c r="AA80" i="66" l="1"/>
  <c r="Y80" i="66"/>
  <c r="A80" i="66"/>
  <c r="W80" i="66" s="1"/>
  <c r="AD79" i="66"/>
  <c r="P12" i="66"/>
  <c r="O12" i="66"/>
  <c r="N12" i="66"/>
  <c r="M12" i="66"/>
  <c r="K12" i="66"/>
  <c r="J12" i="66"/>
  <c r="H12" i="66"/>
  <c r="G12" i="66"/>
  <c r="AP4" i="66"/>
  <c r="AP3" i="66"/>
  <c r="AP2" i="66"/>
  <c r="Y2" i="66"/>
  <c r="AP1" i="66"/>
  <c r="AD79" i="57" l="1"/>
  <c r="AD79" i="63"/>
  <c r="AD79" i="52"/>
  <c r="AD79" i="56"/>
  <c r="AD79" i="51"/>
  <c r="AD79" i="53"/>
  <c r="AD79" i="62"/>
  <c r="AD79" i="54"/>
  <c r="AD79" i="48"/>
  <c r="AD79" i="64"/>
  <c r="G12" i="57" l="1"/>
  <c r="H12" i="57"/>
  <c r="I12" i="57"/>
  <c r="J12" i="57"/>
  <c r="K12" i="57"/>
  <c r="L12" i="57"/>
  <c r="M12" i="57"/>
  <c r="N12" i="57"/>
  <c r="O12" i="57"/>
  <c r="P12" i="57"/>
  <c r="Q12" i="57"/>
  <c r="R12" i="57"/>
  <c r="S12" i="57"/>
  <c r="A80" i="57" l="1"/>
  <c r="A80" i="63"/>
  <c r="A80" i="52"/>
  <c r="A80" i="56"/>
  <c r="A80" i="51"/>
  <c r="A80" i="53"/>
  <c r="A80" i="62"/>
  <c r="A80" i="54"/>
  <c r="A80" i="48"/>
  <c r="A80" i="64"/>
  <c r="AP4" i="54" l="1"/>
  <c r="AP3" i="54"/>
  <c r="AP2" i="54"/>
  <c r="AP1" i="54"/>
  <c r="AP1" i="51" l="1"/>
  <c r="AP2" i="51"/>
  <c r="AP3" i="51"/>
  <c r="AP4" i="51"/>
  <c r="AP4" i="56"/>
  <c r="AP3" i="56"/>
  <c r="AP2" i="56"/>
  <c r="AP1" i="56"/>
  <c r="AA80" i="64" l="1"/>
  <c r="Y80" i="64"/>
  <c r="W80" i="64"/>
  <c r="U12" i="64"/>
  <c r="T12" i="64"/>
  <c r="S12" i="64"/>
  <c r="R12" i="64"/>
  <c r="Q12" i="64"/>
  <c r="P12" i="64"/>
  <c r="O12" i="64"/>
  <c r="N12" i="64"/>
  <c r="M12" i="64"/>
  <c r="L12" i="64"/>
  <c r="K12" i="64"/>
  <c r="J12" i="64"/>
  <c r="AP4" i="64"/>
  <c r="AP3" i="64"/>
  <c r="AP2" i="64"/>
  <c r="Y2" i="64"/>
  <c r="AP1" i="64"/>
  <c r="AP4" i="57" l="1"/>
  <c r="AP3" i="57"/>
  <c r="AP2" i="57"/>
  <c r="AP1" i="57"/>
  <c r="AP4" i="63" l="1"/>
  <c r="AP2" i="63" l="1"/>
  <c r="AP1" i="63"/>
  <c r="AP4" i="52"/>
  <c r="AP2" i="52"/>
  <c r="AP3" i="52"/>
  <c r="AP1" i="52"/>
  <c r="AP4" i="62" l="1"/>
  <c r="AP3" i="62"/>
  <c r="AP2" i="62"/>
  <c r="AP1" i="62"/>
  <c r="AP4" i="53"/>
  <c r="AP3" i="53"/>
  <c r="AP2" i="53"/>
  <c r="AP1" i="53"/>
  <c r="AP2" i="48" l="1"/>
  <c r="AP4" i="48"/>
  <c r="AP3" i="48"/>
  <c r="AP1" i="48"/>
  <c r="I12" i="63" l="1"/>
  <c r="Y2" i="52" l="1"/>
  <c r="I12" i="54" l="1"/>
  <c r="H12" i="54"/>
  <c r="Y2" i="56" l="1"/>
  <c r="Y2" i="62" l="1"/>
  <c r="Y2" i="53"/>
  <c r="I12" i="53"/>
  <c r="I12" i="48" l="1"/>
  <c r="AA80" i="63" l="1"/>
  <c r="Y2" i="63"/>
  <c r="Y80" i="63"/>
  <c r="W80" i="63"/>
  <c r="U12" i="63"/>
  <c r="T12" i="63"/>
  <c r="S12" i="63"/>
  <c r="R12" i="63"/>
  <c r="Q12" i="63"/>
  <c r="P12" i="63"/>
  <c r="O12" i="63"/>
  <c r="N12" i="63"/>
  <c r="M12" i="63"/>
  <c r="L12" i="63"/>
  <c r="K12" i="63"/>
  <c r="J12" i="63"/>
  <c r="H12" i="63"/>
  <c r="G12" i="63"/>
  <c r="F12" i="63"/>
  <c r="E12" i="63"/>
  <c r="Y2" i="57" l="1"/>
  <c r="Y2" i="51"/>
  <c r="Y2" i="54"/>
  <c r="Y2" i="48"/>
  <c r="AA80" i="57" l="1"/>
  <c r="AA80" i="52"/>
  <c r="AA80" i="56"/>
  <c r="AA80" i="51"/>
  <c r="AA80" i="53"/>
  <c r="AA80" i="62"/>
  <c r="AA80" i="54"/>
  <c r="AA80" i="48"/>
  <c r="W80" i="57"/>
  <c r="W80" i="52"/>
  <c r="W80" i="56"/>
  <c r="W80" i="51"/>
  <c r="W80" i="53"/>
  <c r="W80" i="62"/>
  <c r="W80" i="54"/>
  <c r="W80" i="48"/>
  <c r="Y80" i="57"/>
  <c r="Y80" i="52"/>
  <c r="Y80" i="56"/>
  <c r="Y80" i="51"/>
  <c r="Y80" i="53"/>
  <c r="Y80" i="62"/>
  <c r="Y80" i="54"/>
  <c r="Y80" i="48" l="1"/>
  <c r="K12" i="62"/>
  <c r="J12" i="62"/>
  <c r="H12" i="62"/>
  <c r="G12" i="62"/>
  <c r="R12" i="56" l="1"/>
  <c r="Q12" i="56"/>
  <c r="P12" i="56"/>
  <c r="O12" i="56"/>
  <c r="N12" i="56"/>
  <c r="M12" i="56"/>
  <c r="K12" i="56"/>
  <c r="J12" i="56"/>
  <c r="H12" i="56"/>
  <c r="G12" i="56"/>
  <c r="U12" i="54" l="1"/>
  <c r="T12" i="54"/>
  <c r="S12" i="54"/>
  <c r="R12" i="54"/>
  <c r="Q12" i="54"/>
  <c r="P12" i="54"/>
  <c r="O12" i="54"/>
  <c r="N12" i="54"/>
  <c r="M12" i="54"/>
  <c r="L12" i="54"/>
  <c r="K12" i="54"/>
  <c r="J12" i="54"/>
  <c r="G12" i="54"/>
  <c r="E12" i="54"/>
  <c r="N12" i="53"/>
  <c r="M12" i="53"/>
  <c r="L12" i="53"/>
  <c r="K12" i="53"/>
  <c r="J12" i="53"/>
  <c r="H12" i="53"/>
  <c r="G12" i="53"/>
  <c r="R12" i="52" l="1"/>
  <c r="Q12" i="52"/>
  <c r="P12" i="52"/>
  <c r="O12" i="52"/>
  <c r="N12" i="52"/>
  <c r="M12" i="52"/>
  <c r="L12" i="52"/>
  <c r="K12" i="52"/>
  <c r="J12" i="52"/>
  <c r="H12" i="52"/>
  <c r="G12" i="52"/>
  <c r="O12" i="51"/>
  <c r="N12" i="51"/>
  <c r="M12" i="51"/>
  <c r="L12" i="51"/>
  <c r="K12" i="51"/>
  <c r="J12" i="51"/>
  <c r="H12" i="51"/>
  <c r="G12" i="51"/>
  <c r="G12" i="48" l="1"/>
  <c r="H12" i="48"/>
  <c r="J12" i="48"/>
  <c r="K12" i="48"/>
  <c r="L12" i="48"/>
  <c r="M12" i="48"/>
  <c r="N12" i="48"/>
  <c r="O12" i="48"/>
  <c r="P12" i="48"/>
  <c r="Q12" i="48"/>
  <c r="R12" i="48"/>
  <c r="S12" i="48"/>
  <c r="T12" i="48"/>
  <c r="U12" i="48"/>
  <c r="E12" i="48"/>
</calcChain>
</file>

<file path=xl/sharedStrings.xml><?xml version="1.0" encoding="utf-8"?>
<sst xmlns="http://schemas.openxmlformats.org/spreadsheetml/2006/main" count="7238" uniqueCount="749">
  <si>
    <t>AGE = ANGEBOTE GENERAL</t>
  </si>
  <si>
    <t>ACA = Calculation</t>
  </si>
  <si>
    <t>AGP = GP410 document</t>
  </si>
  <si>
    <t>ALO = LOA document</t>
  </si>
  <si>
    <t>AOF = Offer of HZI</t>
  </si>
  <si>
    <t>CLE = Leaflet</t>
  </si>
  <si>
    <t>CMR = Method statement / Risk Assessment</t>
  </si>
  <si>
    <t>CTR = Training</t>
  </si>
  <si>
    <t>DGE = DRAWINGS GENERAL</t>
  </si>
  <si>
    <t>DCI = Civil Indications</t>
  </si>
  <si>
    <t>DEI = EIC Drawing</t>
  </si>
  <si>
    <t>DSY = Safety Drawing</t>
  </si>
  <si>
    <t>JGE = PROJECT MANAGEMENT GENERAL</t>
  </si>
  <si>
    <t>JCC = Contract Consortium</t>
  </si>
  <si>
    <t>JCT = Contract Client</t>
  </si>
  <si>
    <t>JEV = Events (DCR; NCR; DNR; AR)</t>
  </si>
  <si>
    <t>JFO = Form</t>
  </si>
  <si>
    <t>JGC = General Commercial</t>
  </si>
  <si>
    <t>JGI = Guideline / Instruction</t>
  </si>
  <si>
    <t>JRE = Report General</t>
  </si>
  <si>
    <t>JRV = Project Review</t>
  </si>
  <si>
    <t>JTE = Template</t>
  </si>
  <si>
    <t>JWI = Work Instruction (AA)</t>
  </si>
  <si>
    <t>LGE = LISTS GENERAL</t>
  </si>
  <si>
    <t>LCA = Cable List</t>
  </si>
  <si>
    <t>LDO = Document List</t>
  </si>
  <si>
    <t>LDR = Drawing List</t>
  </si>
  <si>
    <t>LEC = E-Consumer List</t>
  </si>
  <si>
    <t>LIF = Interface List</t>
  </si>
  <si>
    <t>LIN = Instrumentation List</t>
  </si>
  <si>
    <t>LOP = List of open points</t>
  </si>
  <si>
    <t>LPE = PED List</t>
  </si>
  <si>
    <t>LPI = Piping List</t>
  </si>
  <si>
    <t>LSI = Signal List</t>
  </si>
  <si>
    <t>LVA = Valve List</t>
  </si>
  <si>
    <t>MGE = MINUTES OF MEETING GENERAL</t>
  </si>
  <si>
    <t>MCI = MoM Civil</t>
  </si>
  <si>
    <t>MCO = MoM Customer</t>
  </si>
  <si>
    <t>MCS = MoM Consultant</t>
  </si>
  <si>
    <t>MIN = MoM Internal (CSP; FGT…)</t>
  </si>
  <si>
    <t>MPM = MoM Project Meeting HZI</t>
  </si>
  <si>
    <t>MSU = MoM Supplier</t>
  </si>
  <si>
    <t>MTP = MoM Third Party</t>
  </si>
  <si>
    <t>OGE = OPERATING MANUAL GENERAL</t>
  </si>
  <si>
    <t>PGE = (Process) DIAGRAMS GENERAL</t>
  </si>
  <si>
    <t>PFD = Process Flow Diagram</t>
  </si>
  <si>
    <t>PID = Piping and Instrumentation Diagram</t>
  </si>
  <si>
    <t>QGE = Q-DOCUMENTS GENERAL</t>
  </si>
  <si>
    <t>QPS = I&amp;T Plan Site</t>
  </si>
  <si>
    <t>QPW = I&amp;T Plan Workshop</t>
  </si>
  <si>
    <t>QRE = Q-Records</t>
  </si>
  <si>
    <t>RGE = PROCUREMENT GENERAL</t>
  </si>
  <si>
    <t>RCO = Contract Supplier</t>
  </si>
  <si>
    <t>RDC = Delivery Certificate</t>
  </si>
  <si>
    <t>RPO = Purchase Order</t>
  </si>
  <si>
    <t>RRQ = Request for Quotation</t>
  </si>
  <si>
    <t>RTC = Technical and Commercial Comparison</t>
  </si>
  <si>
    <t>RTE = Tender</t>
  </si>
  <si>
    <t>SGE = TIME SCHEDULES GENERAL</t>
  </si>
  <si>
    <t>SCC = CPC Client Progress Curves</t>
  </si>
  <si>
    <t xml:space="preserve">SCT = CPT Client Progress Tables </t>
  </si>
  <si>
    <t>SIC = IPC Internal Progress Curves</t>
  </si>
  <si>
    <t>SIT = IPT Internal Progress Tables</t>
  </si>
  <si>
    <t>SMP = Monthly Progress Report</t>
  </si>
  <si>
    <t>SSU = Supplier Time Schedule</t>
  </si>
  <si>
    <t>SSY = STS System Time Schedule</t>
  </si>
  <si>
    <t>STE = TTS Tender Time Schedule</t>
  </si>
  <si>
    <t>TGE = TECHNICAL DOCUMENT GENERAL</t>
  </si>
  <si>
    <t>TD2 = TSD Attachment 2</t>
  </si>
  <si>
    <t>TD3 = TSD Attachment 3</t>
  </si>
  <si>
    <t>TDA = TSD Attachment 1a</t>
  </si>
  <si>
    <t>TDB = TSD Attachment 1b</t>
  </si>
  <si>
    <t>TDE = Design Document</t>
  </si>
  <si>
    <t>TII = Technical Implementation Instruction</t>
  </si>
  <si>
    <t>TSD = Technical Specification Document</t>
  </si>
  <si>
    <t>CBQ = Bill of Quantity</t>
  </si>
  <si>
    <t>DCA = Architectal Drawings</t>
  </si>
  <si>
    <t>DEO = Equipment Outline Drawing (EOD)</t>
  </si>
  <si>
    <t>DDT = Mechanical Construction Drawing</t>
  </si>
  <si>
    <t>DLA = Plant Layout Drawing</t>
  </si>
  <si>
    <t>DPI = Piping Drawing / Isometric</t>
  </si>
  <si>
    <t>DST = Steelstructure Drawing</t>
  </si>
  <si>
    <t>DCD = Civil Drawing</t>
  </si>
  <si>
    <t>DBS = Building Services Drawing</t>
  </si>
  <si>
    <t>DMA = Maintenance Drawing</t>
  </si>
  <si>
    <t>DER = Erection Drawing</t>
  </si>
  <si>
    <t>JCO = Concept (Em Pow. Etc)</t>
  </si>
  <si>
    <t>JPR = Progress Report (int.ext)</t>
  </si>
  <si>
    <t>JQG = Project / Quality Gate Review</t>
  </si>
  <si>
    <t>LCO = Comos Overall List</t>
  </si>
  <si>
    <t>LEQ = Equipment List (AF; AE; AN; AT; AJ; AM; AP, BB)</t>
  </si>
  <si>
    <t>LEX = Supplier Data Exchange List</t>
  </si>
  <si>
    <t>PDS = Functional Design Specification (FDS)</t>
  </si>
  <si>
    <t>RPR = Progress Report Supplier</t>
  </si>
  <si>
    <t>nein</t>
  </si>
  <si>
    <t>ja</t>
  </si>
  <si>
    <t>civil</t>
  </si>
  <si>
    <t>RCR = Change Order Request</t>
  </si>
  <si>
    <t>CGE = CONSTRUCTION SITE GENERAL</t>
  </si>
  <si>
    <t>PIF = Interface Datasheet</t>
  </si>
  <si>
    <t>General proposal documents that cannot be assigned to one of its below categories.</t>
  </si>
  <si>
    <t>Calculations done by HZI to fix the price for a proposal</t>
  </si>
  <si>
    <t>Documents of the HZI business process nr 410</t>
  </si>
  <si>
    <t>Documents that need to be prepared for the internal approval for the submission of an offer.</t>
  </si>
  <si>
    <t>Documents that are part of the offer that HZI hands over to its client</t>
  </si>
  <si>
    <t>General site documents that cannot be assigned to one of its below categories</t>
  </si>
  <si>
    <t>Documents for quantity definitions like weight, lengths, numbers of parts a.s.o.</t>
  </si>
  <si>
    <t>Documents used as booklets, instructions, hand outs, news sheets</t>
  </si>
  <si>
    <t>Documents as a part of workplace safety plan</t>
  </si>
  <si>
    <t>Documents for the training of the personnel on site</t>
  </si>
  <si>
    <t xml:space="preserve">Sketches, Studies, site Infrastrutcure and remaining drawings, which can't be allocated in the other categories: </t>
  </si>
  <si>
    <t>HVAC, water supply and discharge, sanitary, Earthing and Lighting*, security (access control, CCTV), small power and lighting*</t>
  </si>
  <si>
    <t>Architectural drawings, Finishes drawings</t>
  </si>
  <si>
    <t>Underground works, General arrangement, Form work, Reinforcement, Masonry, Finishes, Road and traffic design, external layout/ landscaping</t>
  </si>
  <si>
    <t>Civil indication drawings, Load plans etc.</t>
  </si>
  <si>
    <t>engineering drawings internal  or external</t>
  </si>
  <si>
    <t>Cabletrays, Instrumentation and consumer drawings</t>
  </si>
  <si>
    <t>Equipement Outline Drawing, System design of  Suppliers, engineering drawings</t>
  </si>
  <si>
    <t>Erection drawings</t>
  </si>
  <si>
    <t>Plant layouts, sections and plan views</t>
  </si>
  <si>
    <t>Maintenance concepts and drawings</t>
  </si>
  <si>
    <t>Piperouting drawings, isometric drawings etc</t>
  </si>
  <si>
    <t>Structural steel and platform drawings, internal  or external</t>
  </si>
  <si>
    <t>Safety drawings. Fire protection (detection and fighting etc.) Escape routing. Ex- Zones, Fire compartmentation drawings etc.</t>
  </si>
  <si>
    <t>General project management documents that cannot be assigned to one of its below categories</t>
  </si>
  <si>
    <t xml:space="preserve">Noise Study, Emergency Power, Trafic Concept etc, Safety evaluations, </t>
  </si>
  <si>
    <t>Contract document Consortium</t>
  </si>
  <si>
    <t>Contract document Client</t>
  </si>
  <si>
    <t>Events from PIRS Claim Tool, Design Change Request, Notification Change Request, Defect Notification Request, Accident Report, Supplier Claim</t>
  </si>
  <si>
    <t>Project specific form</t>
  </si>
  <si>
    <t xml:space="preserve">Commercial documents </t>
  </si>
  <si>
    <t>General guidelines or instructions (TV)</t>
  </si>
  <si>
    <t>Monthly Progress Report internal/external, not Supplier</t>
  </si>
  <si>
    <t>Project Review / Quality Gate Review Protocoll</t>
  </si>
  <si>
    <t>Internal and external reports</t>
  </si>
  <si>
    <t>MoM Project Review</t>
  </si>
  <si>
    <t>Project templates Word and Excel</t>
  </si>
  <si>
    <t>Work Instruction of Business Process</t>
  </si>
  <si>
    <t>General lists that cannot be assigned to one of its below categories</t>
  </si>
  <si>
    <t>List that is exported out of Comos including several lists (valve, piping etc.)</t>
  </si>
  <si>
    <t>List of Motors or other E-Consumers (Cabinets etc)</t>
  </si>
  <si>
    <t>All the lists that include equipment, such as conveyors, filters, pumps, tanks etc.</t>
  </si>
  <si>
    <t>List of (technical) data that the supplier has to distribute to HZI</t>
  </si>
  <si>
    <t>List with clear description of interfaces</t>
  </si>
  <si>
    <t>Pressure Equipment Device List</t>
  </si>
  <si>
    <t>General minutes that cannot be assigned to one of its below categories</t>
  </si>
  <si>
    <t>All minutes of meeting with the civil contractor</t>
  </si>
  <si>
    <t>All minutes of meeting with the customer</t>
  </si>
  <si>
    <t>All minutes of meeting with the consultant</t>
  </si>
  <si>
    <t>All minutes of meeting that take place within system groups</t>
  </si>
  <si>
    <t>All minutes of internal project meetings</t>
  </si>
  <si>
    <t>All minutes of meeting with the supplier</t>
  </si>
  <si>
    <t>All minutes of meeting with third parties (non HZI)</t>
  </si>
  <si>
    <t>All operating manual documents</t>
  </si>
  <si>
    <t>General diagrams that cannot be assigned to one of its below categories</t>
  </si>
  <si>
    <t>Former "FuP" and "FuBe" combined. Logic Diagram and verbal description as basis for the programming of the Process Control System</t>
  </si>
  <si>
    <t>Basic diagrams that show different flows such as mass, fluids, energy etc.</t>
  </si>
  <si>
    <t>Detailed diagrams that show all the components existing in the plant, such as piping, instruments, valves, motors, control cabinets, mechanical gear etc.</t>
  </si>
  <si>
    <t>Datasheet for each main interface =&gt; between system groups, customer etc</t>
  </si>
  <si>
    <t>General quality documents that cannot be assigned to one of its below categories</t>
  </si>
  <si>
    <t>The inspection and test plan contains the inspection and test steps that are quality-relevant which have to be carried out prior to, during and following completion of the installation</t>
  </si>
  <si>
    <t>The inspection and test plan contains the inspection and test steps that are quality-relevant which have to be carried out prior to, during and following completion of the production</t>
  </si>
  <si>
    <t>Inspection Reports (signed protocols)</t>
  </si>
  <si>
    <t>General procurement documents that cannot be assigned to one of its below categories</t>
  </si>
  <si>
    <t>General contract or agreement with a supplier</t>
  </si>
  <si>
    <t>Request from a supplier for a change of contract (extra work) =&gt; PIRS Claim tool?</t>
  </si>
  <si>
    <t>Approval form for the release of deliveries</t>
  </si>
  <si>
    <t>Purchase Order (contract with a supplier)</t>
  </si>
  <si>
    <t>Monthly feedback from the supplier regarding the manufacturing or installation progress</t>
  </si>
  <si>
    <t>Request for a quotation</t>
  </si>
  <si>
    <t>Excel sheet to compare tenders from different suppliers for a lot (system)</t>
  </si>
  <si>
    <t>Tender from a supplier</t>
  </si>
  <si>
    <t>General time schedules that cannot be assigned to one of its below categories</t>
  </si>
  <si>
    <t>6 Progress Curves showing the progress of the project, as part of the progress report submitted on monthly basis (Project overall; Project Management &amp; Engineering; Manufacturing &amp; Transport; Civil Construction; Mech. &amp; Electrical Erection; Commissioning ).</t>
  </si>
  <si>
    <t>One tabular report, listing in tables the progress of the different sections of the actual progress  As part of the progress report submitted on monthly basis. (Project overall; Project Management &amp; Engineering; Manufacturing &amp; Transport; Civil Construction; Mech. &amp; Electrical Erection; Commissioning).</t>
  </si>
  <si>
    <t>At least 6 Progress Curves showing the progress of the project with a larger detail then the client curves for the internal supervision of the project. Prepared on monthly basis. (Project overall; Project Management &amp; Engineering; Manufacturing &amp; Transport; Civil Construction; Mech. &amp; Electrical Erection; Commissioning )</t>
  </si>
  <si>
    <t>One or more  tabular reports, listing in tables the progress of the different sections of the actual progress  . As part of the progress report for the internal project control measurements. Prepared on monthly basis. (Project overall; Project Management &amp; Engineering; Manufacturing &amp; Transport; Civil Construction; Mech. &amp; Electrical Erection; Commissioning separated by SU-funktion or disciplines)</t>
  </si>
  <si>
    <t xml:space="preserve">Report that is created to explain the client the status of the project for the particular month. </t>
  </si>
  <si>
    <t>Time schedule that is prepared and maintained by the supplier and send to HZI for the integration into the HZI schedule or the adaptation of progress in the internal programme.</t>
  </si>
  <si>
    <t>Is the next lower level of details for the Master Time Schedule (MTS) resp. Project Time Schedule (PTS) so called level 4 programme.</t>
  </si>
  <si>
    <t xml:space="preserve">Schedule that is prepared to propose the execution of a project in a bar chart programme on a summarised view.  </t>
  </si>
  <si>
    <t>General tecnical documents that cannot be assigned to one of its below categories</t>
  </si>
  <si>
    <t>Schedule of documents that the supplier needs to hand over to HZI</t>
  </si>
  <si>
    <t>Additional technical data in list form that are not part of the TSD</t>
  </si>
  <si>
    <t>Document for each TSD / Order which contains a list of all the general technical attachments such as TIIs etc.</t>
  </si>
  <si>
    <t>Document for each TSD / Order which contains a list of all the specific technical attachments such as drawings, P&amp;IDs etc.</t>
  </si>
  <si>
    <t>Documents that contain the technical design and / or calculation of a specific lot / system</t>
  </si>
  <si>
    <t>Documents with general technical information, wich is relevant and handed out do different suppliers of HZI</t>
  </si>
  <si>
    <t>Documents that specifies the main technical issues of the purchase order for each supplier of HZI</t>
  </si>
  <si>
    <t>QCE = CE Conformity</t>
  </si>
  <si>
    <t>Documents that are part of the CE conformity declaration, either from the supplier or from HZI</t>
  </si>
  <si>
    <t>SPT = PTS Project Time Schedule</t>
  </si>
  <si>
    <t>Project time schedule, main project program to steer the project during execution</t>
  </si>
  <si>
    <t>supplier</t>
  </si>
  <si>
    <t>Word</t>
  </si>
  <si>
    <t>Excel</t>
  </si>
  <si>
    <t>Fragen</t>
  </si>
  <si>
    <t>Description</t>
  </si>
  <si>
    <t>QIS = Q Inspection Protocol Site (MEC)</t>
  </si>
  <si>
    <t>Report issued on site, including description, pictures and list of deviations, signed by HZI and Contractor</t>
  </si>
  <si>
    <t>Mit Saf abgesprochen, 12.05.14</t>
  </si>
  <si>
    <t>QIW = Q Inspection Protocol Workshop</t>
  </si>
  <si>
    <t>Report issued in workshop, including description, pictures and list of deviations, signed by HZI and Contractor</t>
  </si>
  <si>
    <t xml:space="preserve"> Document Type</t>
  </si>
  <si>
    <t>Company know-how used as a design instruction, guideline or checklist for a specific system/subject. The TI explains how the system is executed. The document will be used internally and externally. The execution of the system according to the TI is mandatory. The TI therefore will not be adjusted to the project</t>
  </si>
  <si>
    <t>TIN = Technical Instruction (TV)</t>
  </si>
  <si>
    <t>Project:</t>
  </si>
  <si>
    <t>Revision:</t>
  </si>
  <si>
    <t>Date:</t>
  </si>
  <si>
    <t>Preparation:</t>
  </si>
  <si>
    <t>...</t>
  </si>
  <si>
    <t>Gaskets</t>
  </si>
  <si>
    <t>Nuts</t>
  </si>
  <si>
    <t>Blind flanges</t>
  </si>
  <si>
    <t>Flanges</t>
  </si>
  <si>
    <t>Caps</t>
  </si>
  <si>
    <t>Reducer</t>
  </si>
  <si>
    <t>Pipes</t>
  </si>
  <si>
    <t>to</t>
  </si>
  <si>
    <t xml:space="preserve">from </t>
  </si>
  <si>
    <t>DN</t>
  </si>
  <si>
    <t>Components:</t>
  </si>
  <si>
    <t>mm</t>
  </si>
  <si>
    <t>°C</t>
  </si>
  <si>
    <t>Temp:.</t>
  </si>
  <si>
    <t>Application limit:</t>
  </si>
  <si>
    <t>Test pressure:</t>
  </si>
  <si>
    <t>seamless</t>
  </si>
  <si>
    <t>weldings: welding test reports</t>
  </si>
  <si>
    <t>Manufac. Type:</t>
  </si>
  <si>
    <t>Material Group:</t>
  </si>
  <si>
    <t>bar(a)</t>
  </si>
  <si>
    <t>Press.(design):</t>
  </si>
  <si>
    <t>Temp.(design):</t>
  </si>
  <si>
    <t>Pipe Class:</t>
  </si>
  <si>
    <t>bar(g)</t>
  </si>
  <si>
    <t>-</t>
  </si>
  <si>
    <t>Ext. diameter of  pipes:</t>
  </si>
  <si>
    <t>Int. diameter of pipes</t>
  </si>
  <si>
    <t>Schedule of pipes</t>
  </si>
  <si>
    <t>Standard diameter of pipes:</t>
  </si>
  <si>
    <t>Material</t>
  </si>
  <si>
    <t>End
Prep.</t>
  </si>
  <si>
    <t>Sch./
Rating</t>
  </si>
  <si>
    <t>Standard</t>
  </si>
  <si>
    <t>Remarks</t>
  </si>
  <si>
    <t>BW</t>
  </si>
  <si>
    <t>Cap</t>
  </si>
  <si>
    <t>FL</t>
  </si>
  <si>
    <t>T-fittings &amp;</t>
  </si>
  <si>
    <t>Branch outlet (olet)</t>
  </si>
  <si>
    <t>1.5mm graphit reinforced with SS</t>
  </si>
  <si>
    <t>Flange rating:</t>
  </si>
  <si>
    <t>System:</t>
  </si>
  <si>
    <t>Standard diameter of fittings:</t>
  </si>
  <si>
    <t>Ext. diameter of fittings:</t>
  </si>
  <si>
    <t>Temp. Instrumentation</t>
  </si>
  <si>
    <t>TH</t>
  </si>
  <si>
    <t>Press. Instrumentation</t>
  </si>
  <si>
    <t>Type
No.</t>
  </si>
  <si>
    <t>Surface protection:</t>
  </si>
  <si>
    <t>Tests:</t>
  </si>
  <si>
    <t>Documentations:</t>
  </si>
  <si>
    <t>4.5mm spiral wound w. SS inner &amp; outer ring</t>
  </si>
  <si>
    <t>Bolts</t>
  </si>
  <si>
    <t>Condensate &amp; Steam (T &lt; 400°C)</t>
  </si>
  <si>
    <t>acc. supplier</t>
  </si>
  <si>
    <t>Deminwater (T &lt; 100°C)</t>
  </si>
  <si>
    <t>n.a. yet for this system</t>
  </si>
  <si>
    <t>according project technical standards</t>
  </si>
  <si>
    <t>all reports have to be compiled according to the project specific QS test requirements.</t>
  </si>
  <si>
    <t>Tee</t>
  </si>
  <si>
    <t>T &lt; 200°C</t>
  </si>
  <si>
    <t>1.5 mm compressed (non-asbestos) fibre</t>
  </si>
  <si>
    <t>Run Pipe</t>
  </si>
  <si>
    <t>Branch Pipe</t>
  </si>
  <si>
    <t>Medium:</t>
  </si>
  <si>
    <t>…</t>
  </si>
  <si>
    <t>Fittings:</t>
  </si>
  <si>
    <t>- Isolating valves</t>
  </si>
  <si>
    <t>- Non-Return valves</t>
  </si>
  <si>
    <t>- Strainers</t>
  </si>
  <si>
    <t>- Steam Traps</t>
  </si>
  <si>
    <t>acc. list</t>
  </si>
  <si>
    <t>Range of use</t>
  </si>
  <si>
    <t>Press.:</t>
  </si>
  <si>
    <t>R.o.U. for this pipe class</t>
  </si>
  <si>
    <t>further possible R.o.U.</t>
  </si>
  <si>
    <t>Branch Table</t>
  </si>
  <si>
    <t>Feedwater Tapping (T ≥ 100°C ÷ T ≤ 200°C)</t>
  </si>
  <si>
    <t>Feedwater Discharge (T ≥ 100°C ÷ T ≤ 200°C)</t>
  </si>
  <si>
    <t>Condensate &amp; Steam (T ≥ 200°C ÷ T &lt; 325°C)</t>
  </si>
  <si>
    <t>only w. eng. approval</t>
  </si>
  <si>
    <r>
      <t xml:space="preserve">Min. wall thickness of pipes: </t>
    </r>
    <r>
      <rPr>
        <vertAlign val="superscript"/>
        <sz val="8"/>
        <rFont val="Arial"/>
        <family val="2"/>
      </rPr>
      <t>1)</t>
    </r>
    <r>
      <rPr>
        <sz val="8"/>
        <rFont val="Arial"/>
        <family val="2"/>
      </rPr>
      <t xml:space="preserve"> </t>
    </r>
  </si>
  <si>
    <r>
      <t xml:space="preserve">Min. wall thickness of fittings: </t>
    </r>
    <r>
      <rPr>
        <vertAlign val="superscript"/>
        <sz val="8"/>
        <rFont val="Arial"/>
        <family val="2"/>
      </rPr>
      <t>1)</t>
    </r>
  </si>
  <si>
    <r>
      <t>65</t>
    </r>
    <r>
      <rPr>
        <vertAlign val="superscript"/>
        <sz val="10"/>
        <rFont val="Arial"/>
        <family val="2"/>
      </rPr>
      <t>3)</t>
    </r>
  </si>
  <si>
    <r>
      <t>125</t>
    </r>
    <r>
      <rPr>
        <vertAlign val="superscript"/>
        <sz val="10"/>
        <rFont val="Arial"/>
        <family val="2"/>
      </rPr>
      <t>3)</t>
    </r>
  </si>
  <si>
    <t>Elbow (90°, 45°)</t>
  </si>
  <si>
    <r>
      <t xml:space="preserve">Pipe bend </t>
    </r>
    <r>
      <rPr>
        <vertAlign val="superscript"/>
        <sz val="8"/>
        <rFont val="Arial"/>
        <family val="2"/>
      </rPr>
      <t>4)</t>
    </r>
  </si>
  <si>
    <r>
      <t xml:space="preserve">65 </t>
    </r>
    <r>
      <rPr>
        <vertAlign val="superscript"/>
        <sz val="8"/>
        <rFont val="Arial"/>
        <family val="2"/>
      </rPr>
      <t>3)</t>
    </r>
  </si>
  <si>
    <r>
      <t xml:space="preserve">125 </t>
    </r>
    <r>
      <rPr>
        <vertAlign val="superscript"/>
        <sz val="8"/>
        <rFont val="Arial"/>
        <family val="2"/>
      </rPr>
      <t>3)</t>
    </r>
  </si>
  <si>
    <t>EN PN16</t>
  </si>
  <si>
    <t>n.a.</t>
  </si>
  <si>
    <t>RT °C</t>
  </si>
  <si>
    <t>EN 10216-2</t>
  </si>
  <si>
    <t>Elbow (90°)</t>
  </si>
  <si>
    <t>EN 10253-2 (A)</t>
  </si>
  <si>
    <t>EN 10253-2 (B)</t>
  </si>
  <si>
    <t>PN16</t>
  </si>
  <si>
    <t>EN 1092-1</t>
  </si>
  <si>
    <t>Hexagon bolt</t>
  </si>
  <si>
    <t>ISO 4014/4017</t>
  </si>
  <si>
    <t>EN 1514-1</t>
  </si>
  <si>
    <t>M12</t>
  </si>
  <si>
    <t>M33</t>
  </si>
  <si>
    <t>Hexagon nut</t>
  </si>
  <si>
    <t>ISO 4032</t>
  </si>
  <si>
    <t>Reducers</t>
  </si>
  <si>
    <t>1.0352 (tech. deliv. EN10222-2)</t>
  </si>
  <si>
    <t>1.0425 (tech. deliv. EN10028-2)</t>
  </si>
  <si>
    <t>metallic industrial pipeline according to EN 13480 and EC - Pressure Equipment Directive</t>
  </si>
  <si>
    <t>according to EN 13480, part 1 and 5, CEN/TR 13480-7 and project specific QS test</t>
  </si>
  <si>
    <t>1.0345 (tech. deliv. EN10216-2)</t>
  </si>
  <si>
    <t>1.0345 (tech. deliv. EN10253-2)</t>
  </si>
  <si>
    <t>material: acceptance certificate EN 10204 3.1*)</t>
  </si>
  <si>
    <t>Weldolet acc. to individual calculation</t>
  </si>
  <si>
    <r>
      <t xml:space="preserve">Thermowell </t>
    </r>
    <r>
      <rPr>
        <sz val="8"/>
        <rFont val="Calibri"/>
        <family val="2"/>
      </rPr>
      <t>Ø</t>
    </r>
    <r>
      <rPr>
        <sz val="8"/>
        <rFont val="Arial"/>
        <family val="2"/>
      </rPr>
      <t>26 / G (1/2")</t>
    </r>
  </si>
  <si>
    <t>Hex head plug G (1/2")</t>
  </si>
  <si>
    <t>W</t>
  </si>
  <si>
    <t>DIN 910</t>
  </si>
  <si>
    <t>St.</t>
  </si>
  <si>
    <t>1.5414 (tech. deliv. EN10222-2)</t>
  </si>
  <si>
    <t>EN 10222-2</t>
  </si>
  <si>
    <t>EN PN63</t>
  </si>
  <si>
    <t>B-4</t>
  </si>
  <si>
    <t>PN63</t>
  </si>
  <si>
    <t>EN PN160</t>
  </si>
  <si>
    <t>PN160</t>
  </si>
  <si>
    <t>M27</t>
  </si>
  <si>
    <t>EN 1514-2</t>
  </si>
  <si>
    <t>1.5415 (tech. deliv. EN10216-2)</t>
  </si>
  <si>
    <t>PN40</t>
  </si>
  <si>
    <t>4E0 (1.5415)</t>
  </si>
  <si>
    <t>3E0 (1.0345)</t>
  </si>
  <si>
    <t>5E0 (1.7335)</t>
  </si>
  <si>
    <t>A</t>
  </si>
  <si>
    <t>B</t>
  </si>
  <si>
    <t>EN 13480-3</t>
  </si>
  <si>
    <t>EN 10253-2</t>
  </si>
  <si>
    <t>Tee Type A (followed by serial No)</t>
  </si>
  <si>
    <t>Tee Type B (followed by serial No)</t>
  </si>
  <si>
    <t>1.5415 (tech. deliv. EN10222-2)</t>
  </si>
  <si>
    <t>15E0 (1.4571)</t>
  </si>
  <si>
    <t>1.4571 (tech. deliv. EN10216-5)</t>
  </si>
  <si>
    <t>EN 10216-5</t>
  </si>
  <si>
    <t>A4-70 (EN ISO 3506-1)</t>
  </si>
  <si>
    <t>A4-70 (EN ISO 3506-2)</t>
  </si>
  <si>
    <t>Up to 3 DN decrements are allowed</t>
  </si>
  <si>
    <t>1.4571 (tech. deliv. EN10253-4)</t>
  </si>
  <si>
    <t>EN 10253-4</t>
  </si>
  <si>
    <t>EN 10253-4 (A)</t>
  </si>
  <si>
    <t>EN 10253-4 (B)</t>
  </si>
  <si>
    <t>only for main HP-Steam</t>
  </si>
  <si>
    <t>BW/FL</t>
  </si>
  <si>
    <t>M24</t>
  </si>
  <si>
    <t>1.5415 (acc. EN10222-2)</t>
  </si>
  <si>
    <t>M39</t>
  </si>
  <si>
    <t>Stud bolt (according to DIN 976)</t>
  </si>
  <si>
    <t>Stud bolt (according to DIN 2510-3, type L)</t>
  </si>
  <si>
    <t>DIN 976</t>
  </si>
  <si>
    <t>DIN 2510-3</t>
  </si>
  <si>
    <t>Hexagon nut (according to DIN 2510-5, type NF)</t>
  </si>
  <si>
    <t>Conformity evaluation:</t>
  </si>
  <si>
    <t>Quality:</t>
  </si>
  <si>
    <t>EN PN10</t>
  </si>
  <si>
    <t>Condensate &amp; Saturated Steam (T &lt; 400°C)</t>
  </si>
  <si>
    <t>EN 10217-5</t>
  </si>
  <si>
    <t>PN10</t>
  </si>
  <si>
    <t>Weldolet (DN15) acc. to individual calculation</t>
  </si>
  <si>
    <t>1.4571 (tech. deliv. EN10222-5)</t>
  </si>
  <si>
    <t>1.4571 (tech. deliv. EN10028-7)</t>
  </si>
  <si>
    <t>material: acceptance certificate EN 10204 2.2*)</t>
  </si>
  <si>
    <t>EN 10222-5</t>
  </si>
  <si>
    <t>Hexagon nut (according to ISO 4032)</t>
  </si>
  <si>
    <t>Reducer (Concentric or Eccentric)</t>
  </si>
  <si>
    <t>EN PN40</t>
  </si>
  <si>
    <t>EN PN25</t>
  </si>
  <si>
    <t>PN25</t>
  </si>
  <si>
    <t>M36</t>
  </si>
  <si>
    <t>W-30</t>
  </si>
  <si>
    <t>TA</t>
  </si>
  <si>
    <t>TB</t>
  </si>
  <si>
    <t>1.5415 (acc. EN 10222-2)</t>
  </si>
  <si>
    <t>1.5415 (acc. EN 10216-2)</t>
  </si>
  <si>
    <t>W-45</t>
  </si>
  <si>
    <t>Reinforced outside (followed by bar diameter)</t>
  </si>
  <si>
    <t>TB-3</t>
  </si>
  <si>
    <t>TB-4</t>
  </si>
  <si>
    <t>TB-5</t>
  </si>
  <si>
    <t>TB-6</t>
  </si>
  <si>
    <t>TB-7</t>
  </si>
  <si>
    <t>W-35</t>
  </si>
  <si>
    <t>W-50</t>
  </si>
  <si>
    <t>W-60</t>
  </si>
  <si>
    <t>W-70</t>
  </si>
  <si>
    <t>W-80</t>
  </si>
  <si>
    <t>TA-3</t>
  </si>
  <si>
    <t>TB-2</t>
  </si>
  <si>
    <t>1.0345 (acc. EN 10216-2)</t>
  </si>
  <si>
    <t>B-4.5</t>
  </si>
  <si>
    <t>W-25</t>
  </si>
  <si>
    <t>B-14.2</t>
  </si>
  <si>
    <t>B-10</t>
  </si>
  <si>
    <t>TA-2</t>
  </si>
  <si>
    <t>B-8</t>
  </si>
  <si>
    <t>B-12.5</t>
  </si>
  <si>
    <t>B-3.2</t>
  </si>
  <si>
    <t>1.0460 (acc. EN 10222-2)</t>
  </si>
  <si>
    <t>1.0460 (tech. deliv. EN10222-2)</t>
  </si>
  <si>
    <t>W-90</t>
  </si>
  <si>
    <t>W-55</t>
  </si>
  <si>
    <t>W-40</t>
  </si>
  <si>
    <t>PN100</t>
  </si>
  <si>
    <t>HP-Steam/Live Steam (T ≥ 400°C ÷ T &lt; 470°C)</t>
  </si>
  <si>
    <r>
      <t xml:space="preserve">DN </t>
    </r>
    <r>
      <rPr>
        <sz val="8"/>
        <rFont val="Calibri"/>
        <family val="2"/>
      </rPr>
      <t>≤</t>
    </r>
    <r>
      <rPr>
        <sz val="8"/>
        <rFont val="Arial"/>
        <family val="2"/>
      </rPr>
      <t xml:space="preserve"> 80</t>
    </r>
  </si>
  <si>
    <t>welded</t>
  </si>
  <si>
    <t>TA-4</t>
  </si>
  <si>
    <t>W-65</t>
  </si>
  <si>
    <t>W-85</t>
  </si>
  <si>
    <t>W-95</t>
  </si>
  <si>
    <t>A-3.2</t>
  </si>
  <si>
    <t>Unreinforced (followed by WT)</t>
  </si>
  <si>
    <t>Reinforced inside (followed by WT)</t>
  </si>
  <si>
    <t>A-3.6</t>
  </si>
  <si>
    <t>A-6.3</t>
  </si>
  <si>
    <t>A-4.5</t>
  </si>
  <si>
    <t>A-8</t>
  </si>
  <si>
    <t>TA-1</t>
  </si>
  <si>
    <t>OD12</t>
  </si>
  <si>
    <t>1.4571 (acc. EN 10216-5)</t>
  </si>
  <si>
    <t>1.4571 (acc. EN 10222-5)</t>
  </si>
  <si>
    <t>B-6.3</t>
  </si>
  <si>
    <t>B-7.1</t>
  </si>
  <si>
    <t>B-3.6</t>
  </si>
  <si>
    <t>B-5.6</t>
  </si>
  <si>
    <t>B-2.6</t>
  </si>
  <si>
    <t>1.4571 (tech. deliv. EN10217-7)</t>
  </si>
  <si>
    <t>EN 10217-7</t>
  </si>
  <si>
    <r>
      <t>OD12</t>
    </r>
    <r>
      <rPr>
        <vertAlign val="superscript"/>
        <sz val="8"/>
        <rFont val="Arial"/>
        <family val="2"/>
      </rPr>
      <t xml:space="preserve"> 11)</t>
    </r>
  </si>
  <si>
    <t>A4-70</t>
  </si>
  <si>
    <t>1.0460</t>
  </si>
  <si>
    <t>1.5415</t>
  </si>
  <si>
    <r>
      <t>15</t>
    </r>
    <r>
      <rPr>
        <vertAlign val="superscript"/>
        <sz val="8"/>
        <rFont val="Arial"/>
        <family val="2"/>
      </rPr>
      <t xml:space="preserve"> 12)</t>
    </r>
  </si>
  <si>
    <t>A-4</t>
  </si>
  <si>
    <t>A-7.1</t>
  </si>
  <si>
    <t>A-8.8</t>
  </si>
  <si>
    <r>
      <t xml:space="preserve">DN </t>
    </r>
    <r>
      <rPr>
        <sz val="8"/>
        <rFont val="Calibri"/>
        <family val="2"/>
      </rPr>
      <t>≤</t>
    </r>
    <r>
      <rPr>
        <sz val="8"/>
        <rFont val="Arial"/>
        <family val="2"/>
      </rPr>
      <t xml:space="preserve"> 300</t>
    </r>
  </si>
  <si>
    <t>Schedule of fittings (serial No)</t>
  </si>
  <si>
    <t>Stud bolt</t>
  </si>
  <si>
    <t>EN PN100</t>
  </si>
  <si>
    <t>HP-Steam/Live Steam (T ≥ 400°C ÷ T ≤ 450°C)</t>
  </si>
  <si>
    <t>4 (5)</t>
  </si>
  <si>
    <t>3 (4)</t>
  </si>
  <si>
    <t>W-75</t>
  </si>
  <si>
    <t>if accepted by client!</t>
  </si>
  <si>
    <t>ECCB</t>
  </si>
  <si>
    <t>ECDB</t>
  </si>
  <si>
    <t>ECEB</t>
  </si>
  <si>
    <t>ECHB</t>
  </si>
  <si>
    <t>ECJB</t>
  </si>
  <si>
    <t>ECGA</t>
  </si>
  <si>
    <t>EDHA</t>
  </si>
  <si>
    <t>EDJA</t>
  </si>
  <si>
    <t>EDFC</t>
  </si>
  <si>
    <t>EDHC</t>
  </si>
  <si>
    <t>EDJC</t>
  </si>
  <si>
    <t>EBDB</t>
  </si>
  <si>
    <t>EHDH</t>
  </si>
  <si>
    <t>Insulation:</t>
  </si>
  <si>
    <t>Abbreviations:</t>
  </si>
  <si>
    <t>R.o.U.: Range of Use</t>
  </si>
  <si>
    <t>WN type (11) - RF (B1)</t>
  </si>
  <si>
    <t>Blind flange type (05) - RF (B1)</t>
  </si>
  <si>
    <t>WN type (11) - RF (B2)</t>
  </si>
  <si>
    <t>BE</t>
  </si>
  <si>
    <t>PE</t>
  </si>
  <si>
    <t>PE: Plain End</t>
  </si>
  <si>
    <t>BE: Bevel End</t>
  </si>
  <si>
    <t>BW: Butt Weld</t>
  </si>
  <si>
    <t>FL: Flanged End (RF)</t>
  </si>
  <si>
    <t>WN: Weld Neck</t>
  </si>
  <si>
    <t>RF: Raised face</t>
  </si>
  <si>
    <t>sml: seamless pipe</t>
  </si>
  <si>
    <t>wld: welded  pipe</t>
  </si>
  <si>
    <t>Pipe wld - Bevelled End</t>
  </si>
  <si>
    <t>Pipe sml Bend - 5xDN</t>
  </si>
  <si>
    <t>Pipe sml - Bevelled End</t>
  </si>
  <si>
    <t>Pipe sml - Plain End</t>
  </si>
  <si>
    <t>TH: Thread End or Conn.</t>
  </si>
  <si>
    <t>W: Welded Branch Conn.</t>
  </si>
  <si>
    <t>Hexagon bolt "hot-dip galvanized"</t>
  </si>
  <si>
    <t>Hexagon nut "hot-dip galvanized"</t>
  </si>
  <si>
    <r>
      <t>w.n.f.</t>
    </r>
    <r>
      <rPr>
        <vertAlign val="superscript"/>
        <sz val="8"/>
        <rFont val="Arial"/>
        <family val="2"/>
      </rPr>
      <t>2)</t>
    </r>
  </si>
  <si>
    <t>Elbow - Type 3D</t>
  </si>
  <si>
    <t>Elbow - Type 2D</t>
  </si>
  <si>
    <t>Elbow - Type 5D</t>
  </si>
  <si>
    <t>with TC2 certificate!</t>
  </si>
  <si>
    <t>according valve list (globe valve)</t>
  </si>
  <si>
    <t>according valve list (gate valve)</t>
  </si>
  <si>
    <t>according valve list (butterfly valve)</t>
  </si>
  <si>
    <t>according valve list (small gate valve)</t>
  </si>
  <si>
    <t>according valve list (ball valve)</t>
  </si>
  <si>
    <r>
      <t xml:space="preserve">Weldolet </t>
    </r>
    <r>
      <rPr>
        <sz val="8"/>
        <rFont val="Calibri"/>
        <family val="2"/>
      </rPr>
      <t>Ø</t>
    </r>
    <r>
      <rPr>
        <sz val="8"/>
        <rFont val="Arial"/>
        <family val="2"/>
      </rPr>
      <t>45/26</t>
    </r>
  </si>
  <si>
    <t>Blind flange PN160 not
in EN1092-1 available
calc. &amp; drwg. required</t>
  </si>
  <si>
    <t>Blind flange type (05) - RF (B2)</t>
  </si>
  <si>
    <t>DN &lt; 500</t>
  </si>
  <si>
    <t>1.0345 (acc. EN 10217-2)</t>
  </si>
  <si>
    <r>
      <t xml:space="preserve">DN </t>
    </r>
    <r>
      <rPr>
        <sz val="10"/>
        <rFont val="Calibri"/>
        <family val="2"/>
      </rPr>
      <t>≥</t>
    </r>
    <r>
      <rPr>
        <sz val="10"/>
        <rFont val="Arial"/>
        <family val="2"/>
      </rPr>
      <t xml:space="preserve"> 500</t>
    </r>
  </si>
  <si>
    <t>M45</t>
  </si>
  <si>
    <r>
      <t xml:space="preserve">- </t>
    </r>
    <r>
      <rPr>
        <vertAlign val="superscript"/>
        <sz val="10"/>
        <rFont val="Arial"/>
        <family val="2"/>
      </rPr>
      <t>T300)</t>
    </r>
  </si>
  <si>
    <t>T350) use T-Piece DN350/150 with reducer DN150/125 or DN150/DN100 or DN150/DN80</t>
  </si>
  <si>
    <r>
      <t xml:space="preserve">- </t>
    </r>
    <r>
      <rPr>
        <vertAlign val="superscript"/>
        <sz val="10"/>
        <rFont val="Arial"/>
        <family val="2"/>
      </rPr>
      <t>T350)</t>
    </r>
  </si>
  <si>
    <t>T400) use T-Piece DN400/150 with reducer DN150/125 or DN150/DN100 or DN150/DN80</t>
  </si>
  <si>
    <r>
      <t xml:space="preserve">- </t>
    </r>
    <r>
      <rPr>
        <vertAlign val="superscript"/>
        <sz val="10"/>
        <rFont val="Arial"/>
        <family val="2"/>
      </rPr>
      <t>T400)</t>
    </r>
  </si>
  <si>
    <t>D4-Thermowell</t>
  </si>
  <si>
    <t>D5-Thermowell</t>
  </si>
  <si>
    <t>Weldolet Ø50/26</t>
  </si>
  <si>
    <t>Weldolet Ø60/26</t>
  </si>
  <si>
    <t>Weldolet Ø45/26</t>
  </si>
  <si>
    <t>Weldolet Ø40/26</t>
  </si>
  <si>
    <t>Thermowell Ø26 / G (1/2")</t>
  </si>
  <si>
    <r>
      <t xml:space="preserve">DN </t>
    </r>
    <r>
      <rPr>
        <sz val="8"/>
        <rFont val="Calibri"/>
        <family val="2"/>
      </rPr>
      <t>≤</t>
    </r>
    <r>
      <rPr>
        <sz val="8"/>
        <rFont val="Arial"/>
        <family val="2"/>
      </rPr>
      <t xml:space="preserve"> 300 </t>
    </r>
    <r>
      <rPr>
        <sz val="6"/>
        <rFont val="Arial"/>
        <family val="2"/>
      </rPr>
      <t>only acc. EN1092-1</t>
    </r>
  </si>
  <si>
    <r>
      <t xml:space="preserve">DN </t>
    </r>
    <r>
      <rPr>
        <sz val="8"/>
        <rFont val="Calibri"/>
        <family val="2"/>
      </rPr>
      <t>≤</t>
    </r>
    <r>
      <rPr>
        <sz val="8"/>
        <rFont val="Arial"/>
        <family val="2"/>
      </rPr>
      <t xml:space="preserve"> 350 </t>
    </r>
    <r>
      <rPr>
        <sz val="6"/>
        <rFont val="Arial"/>
        <family val="2"/>
      </rPr>
      <t>only acc. EN1092-1</t>
    </r>
  </si>
  <si>
    <r>
      <t xml:space="preserve">80 &lt; DN </t>
    </r>
    <r>
      <rPr>
        <sz val="8"/>
        <rFont val="Calibri"/>
        <family val="2"/>
      </rPr>
      <t>≤</t>
    </r>
    <r>
      <rPr>
        <sz val="8"/>
        <rFont val="Arial"/>
        <family val="2"/>
      </rPr>
      <t xml:space="preserve"> 300</t>
    </r>
  </si>
  <si>
    <r>
      <t xml:space="preserve">80 &lt; DN </t>
    </r>
    <r>
      <rPr>
        <sz val="8"/>
        <rFont val="Calibri"/>
        <family val="2"/>
      </rPr>
      <t>≤</t>
    </r>
    <r>
      <rPr>
        <sz val="8"/>
        <rFont val="Arial"/>
        <family val="2"/>
      </rPr>
      <t xml:space="preserve"> 350</t>
    </r>
  </si>
  <si>
    <t>The pipe class manual needs to be verified by the detail engineering supplier!</t>
  </si>
  <si>
    <t>1.0345 (tech. deliv. EN10028-2)</t>
  </si>
  <si>
    <r>
      <t>1.5415-TC2 (</t>
    </r>
    <r>
      <rPr>
        <sz val="7"/>
        <rFont val="Arial"/>
        <family val="2"/>
      </rPr>
      <t>tech. deliv.</t>
    </r>
    <r>
      <rPr>
        <sz val="8"/>
        <rFont val="Arial"/>
        <family val="2"/>
      </rPr>
      <t xml:space="preserve"> EN10216-2)</t>
    </r>
  </si>
  <si>
    <r>
      <t>1.7335-TC2 (</t>
    </r>
    <r>
      <rPr>
        <sz val="7"/>
        <rFont val="Arial"/>
        <family val="2"/>
      </rPr>
      <t>tech. deliv.</t>
    </r>
    <r>
      <rPr>
        <sz val="8"/>
        <rFont val="Arial"/>
        <family val="2"/>
      </rPr>
      <t xml:space="preserve"> EN10216-2)</t>
    </r>
  </si>
  <si>
    <r>
      <t>1.0345-TC2 (</t>
    </r>
    <r>
      <rPr>
        <sz val="7"/>
        <rFont val="Arial"/>
        <family val="2"/>
      </rPr>
      <t>tech. deliv.</t>
    </r>
    <r>
      <rPr>
        <sz val="8"/>
        <rFont val="Arial"/>
        <family val="2"/>
      </rPr>
      <t xml:space="preserve"> EN10217-5)</t>
    </r>
  </si>
  <si>
    <t>Weldolet Ø36/26</t>
  </si>
  <si>
    <t>1.4571 (acc. EN 10217-7)</t>
  </si>
  <si>
    <t>Refer to pipe class
ECDB (PN16)</t>
  </si>
  <si>
    <t>2 (3)</t>
  </si>
  <si>
    <t>ECFB</t>
  </si>
  <si>
    <t>W-37</t>
  </si>
  <si>
    <r>
      <t xml:space="preserve">- </t>
    </r>
    <r>
      <rPr>
        <vertAlign val="superscript"/>
        <sz val="10"/>
        <rFont val="Arial"/>
        <family val="2"/>
      </rPr>
      <t>T150)</t>
    </r>
  </si>
  <si>
    <t>Washers</t>
  </si>
  <si>
    <t>Refer to second page
(Branch Table)</t>
  </si>
  <si>
    <t>EN ISO 7089</t>
  </si>
  <si>
    <t>97.6
92.8</t>
  </si>
  <si>
    <t>85.7
80.9</t>
  </si>
  <si>
    <t>80.9
76.1</t>
  </si>
  <si>
    <t>74.7
69.5</t>
  </si>
  <si>
    <t>69
64.2</t>
  </si>
  <si>
    <r>
      <rPr>
        <sz val="8"/>
        <rFont val="Calibri"/>
        <family val="2"/>
      </rPr>
      <t>≤</t>
    </r>
    <r>
      <rPr>
        <sz val="8"/>
        <rFont val="Arial"/>
        <family val="2"/>
      </rPr>
      <t>DN250
&gt;DN250</t>
    </r>
  </si>
  <si>
    <t>156.1
148.5</t>
  </si>
  <si>
    <t>137.1
129.5</t>
  </si>
  <si>
    <t>129.5
121.9</t>
  </si>
  <si>
    <t>119.6
111.2</t>
  </si>
  <si>
    <t>110.4
102.8</t>
  </si>
  <si>
    <t>102.5
96.4</t>
  </si>
  <si>
    <t>94.6
90</t>
  </si>
  <si>
    <r>
      <rPr>
        <sz val="8"/>
        <rFont val="Calibri"/>
        <family val="2"/>
      </rPr>
      <t>≤</t>
    </r>
    <r>
      <rPr>
        <sz val="8"/>
        <rFont val="Arial"/>
        <family val="2"/>
      </rPr>
      <t>DN200
&gt;DN200</t>
    </r>
  </si>
  <si>
    <t>14.8
13.7</t>
  </si>
  <si>
    <t>14
13.3</t>
  </si>
  <si>
    <t>13.3
12.4</t>
  </si>
  <si>
    <t>12.1
11.3</t>
  </si>
  <si>
    <t>11
10.2</t>
  </si>
  <si>
    <t>10.2
9.6</t>
  </si>
  <si>
    <t>9.5
9.1</t>
  </si>
  <si>
    <r>
      <rPr>
        <sz val="8"/>
        <rFont val="Calibri"/>
        <family val="2"/>
      </rPr>
      <t>≤</t>
    </r>
    <r>
      <rPr>
        <sz val="8"/>
        <rFont val="Arial"/>
        <family val="2"/>
      </rPr>
      <t>DN900
&gt;DN900</t>
    </r>
  </si>
  <si>
    <t>23.2
21.4</t>
  </si>
  <si>
    <t>22
20.8</t>
  </si>
  <si>
    <t>20.8
19.4</t>
  </si>
  <si>
    <t>19
17.7</t>
  </si>
  <si>
    <t>17.2
16</t>
  </si>
  <si>
    <t>16
15.1</t>
  </si>
  <si>
    <t>14.8
14.2</t>
  </si>
  <si>
    <r>
      <rPr>
        <sz val="8"/>
        <rFont val="Calibri"/>
        <family val="2"/>
      </rPr>
      <t>≤</t>
    </r>
    <r>
      <rPr>
        <sz val="8"/>
        <rFont val="Arial"/>
        <family val="2"/>
      </rPr>
      <t>DN700
&gt;DN700</t>
    </r>
  </si>
  <si>
    <t>37.1
34.2</t>
  </si>
  <si>
    <t>35.2
33.3</t>
  </si>
  <si>
    <t>33.3
31</t>
  </si>
  <si>
    <t>30.4
28.3</t>
  </si>
  <si>
    <t>27.6
25.7</t>
  </si>
  <si>
    <t>25.7
24.1</t>
  </si>
  <si>
    <t>23.8
22.8</t>
  </si>
  <si>
    <r>
      <rPr>
        <sz val="8"/>
        <rFont val="Calibri"/>
        <family val="2"/>
      </rPr>
      <t>≤</t>
    </r>
    <r>
      <rPr>
        <sz val="8"/>
        <rFont val="Arial"/>
        <family val="2"/>
      </rPr>
      <t>DN400
&gt;DN400</t>
    </r>
  </si>
  <si>
    <t>92.8
85.7</t>
  </si>
  <si>
    <t>88
83.3</t>
  </si>
  <si>
    <t>83.3
77.6</t>
  </si>
  <si>
    <t>76.1
70.9</t>
  </si>
  <si>
    <t>64.2
60.4</t>
  </si>
  <si>
    <t>59.5
57.1</t>
  </si>
  <si>
    <r>
      <rPr>
        <sz val="8"/>
        <rFont val="Calibri"/>
        <family val="2"/>
      </rPr>
      <t>≤</t>
    </r>
    <r>
      <rPr>
        <sz val="8"/>
        <rFont val="Arial"/>
        <family val="2"/>
      </rPr>
      <t>DN150
&gt;DN150</t>
    </r>
  </si>
  <si>
    <t>66.6
62.3</t>
  </si>
  <si>
    <t>148.5
137.1</t>
  </si>
  <si>
    <t>140.9
133.3</t>
  </si>
  <si>
    <t>133.3
124.1</t>
  </si>
  <si>
    <t>121.9
113.5</t>
  </si>
  <si>
    <t>102.8
96.7</t>
  </si>
  <si>
    <t>95.2
91.4</t>
  </si>
  <si>
    <t>58.5
54</t>
  </si>
  <si>
    <t>55.5
52.5</t>
  </si>
  <si>
    <t>52.5
48.9</t>
  </si>
  <si>
    <t>39
37.1</t>
  </si>
  <si>
    <t>34.2
32.3</t>
  </si>
  <si>
    <t>32.3
30.4</t>
  </si>
  <si>
    <t>29.9
27.8</t>
  </si>
  <si>
    <r>
      <rPr>
        <sz val="8"/>
        <rFont val="Calibri"/>
        <family val="2"/>
      </rPr>
      <t>≤</t>
    </r>
    <r>
      <rPr>
        <sz val="8"/>
        <rFont val="Arial"/>
        <family val="2"/>
      </rPr>
      <t>DN500
&gt;DN500</t>
    </r>
  </si>
  <si>
    <t>16
15.6</t>
  </si>
  <si>
    <t>15.2
14.4</t>
  </si>
  <si>
    <t>14.4
13.4</t>
  </si>
  <si>
    <r>
      <rPr>
        <sz val="8"/>
        <rFont val="Calibri"/>
        <family val="2"/>
      </rPr>
      <t>≤</t>
    </r>
    <r>
      <rPr>
        <sz val="8"/>
        <rFont val="Arial"/>
        <family val="2"/>
      </rPr>
      <t>DN1000
&gt;DN1000</t>
    </r>
  </si>
  <si>
    <t>9.2
8.5</t>
  </si>
  <si>
    <t>8.8
8.3</t>
  </si>
  <si>
    <t>8.3
7.7</t>
  </si>
  <si>
    <t>7.6
7</t>
  </si>
  <si>
    <t>6.9
6.4</t>
  </si>
  <si>
    <t>6.4
6</t>
  </si>
  <si>
    <t>5.9
5.7</t>
  </si>
  <si>
    <t>1) corrosion allowance = 0.5mm DN≤80 and 1mm DN&gt;80
2) w.n.f. = weld neck flange  (pressure rating according to EN1092-1, table G.9, material group 3E0 vR≤50mm / 50&lt;vR≤150)
3) DN65 and DN125 are NOT prefered diameter sizes
4) bend radius --&gt; bends 5xDN are prefered; due to arrangement issues elbows long radius (3D) or exceptional short radius (2D) could solve installation problems
5)</t>
  </si>
  <si>
    <t>1) corrosion allowance = 0.5mm DN≤80 and 1mm DN&gt;80
2) w.n.f. = weld neck flange  (pressure rating according to EN1092-1, table G.8, material group 3E0 vR≤50mm / 50&lt;vR≤150)
3) DN65 and DN125 are NOT prefered diameter sizes
4) bend radius --&gt; bends 5xDN are prefered; due to arrangement issues elbows long radius (3D) or exceptional short radius (2D) could solve installation problems
5)</t>
  </si>
  <si>
    <t>106.6
99.75</t>
  </si>
  <si>
    <t>Washer "hot-dip galvanized"</t>
  </si>
  <si>
    <t>St. 200HV</t>
  </si>
  <si>
    <t>*) the manufacturer has to meet all QS-demands acc. to PED 2014/68/EU guideline 7/5 (for the EU) or PE(S)R 2016 No. 1105 (for the UK)</t>
  </si>
  <si>
    <t>T150) use T-Piece DN150/80 with reducer DN80/50</t>
  </si>
  <si>
    <r>
      <t xml:space="preserve">- </t>
    </r>
    <r>
      <rPr>
        <vertAlign val="superscript"/>
        <sz val="10"/>
        <rFont val="Arial"/>
        <family val="2"/>
      </rPr>
      <t>T200)</t>
    </r>
  </si>
  <si>
    <t>ECHA</t>
  </si>
  <si>
    <t>Stud bolt (acc. to DIN 976)</t>
  </si>
  <si>
    <t>consider chapter 2.4.6.4</t>
  </si>
  <si>
    <t>Closed Cooling Water (CCW) (T&lt;100°C)</t>
  </si>
  <si>
    <t>STD Dia. of pipes:</t>
  </si>
  <si>
    <t>Ext. Dia. of  pipes:</t>
  </si>
  <si>
    <r>
      <t xml:space="preserve">Min. WT of pipes: </t>
    </r>
    <r>
      <rPr>
        <vertAlign val="superscript"/>
        <sz val="8"/>
        <rFont val="Arial"/>
        <family val="2"/>
      </rPr>
      <t>1)</t>
    </r>
    <r>
      <rPr>
        <sz val="8"/>
        <rFont val="Arial"/>
        <family val="2"/>
      </rPr>
      <t xml:space="preserve"> </t>
    </r>
  </si>
  <si>
    <t>SCH of pipes</t>
  </si>
  <si>
    <t>Int. Dia. of pipes</t>
  </si>
  <si>
    <t>STD Dia. of fittings:</t>
  </si>
  <si>
    <t>Ext. Dia. of fittings:</t>
  </si>
  <si>
    <r>
      <t xml:space="preserve">Min. WT of fittings: </t>
    </r>
    <r>
      <rPr>
        <vertAlign val="superscript"/>
        <sz val="8"/>
        <rFont val="Arial"/>
        <family val="2"/>
      </rPr>
      <t>1)</t>
    </r>
  </si>
  <si>
    <t>SCH of fittings</t>
  </si>
  <si>
    <r>
      <t>20</t>
    </r>
    <r>
      <rPr>
        <vertAlign val="superscript"/>
        <sz val="10"/>
        <rFont val="Arial"/>
        <family val="2"/>
      </rPr>
      <t>3)</t>
    </r>
  </si>
  <si>
    <r>
      <t>32</t>
    </r>
    <r>
      <rPr>
        <vertAlign val="superscript"/>
        <sz val="10"/>
        <rFont val="Arial"/>
        <family val="2"/>
      </rPr>
      <t>3)</t>
    </r>
  </si>
  <si>
    <t>5.6 (acc. ISO898-1 / ISO10684)</t>
  </si>
  <si>
    <t>5 (acc. ISO898-2 / ISO10684)</t>
  </si>
  <si>
    <t>1) corrosion allowance = 0.5mm DN≤80 and 1mm DN&gt;80
2) w.n.f. = weld neck flange  (pressure rating according to EN1092-1, table G.5, material group 3E0 vR≤50mm / 50&lt;vR≤150)
3) DN20 and DN32 only used with reducers / DN65 and DN125 are NOT prefered diameter sizes
4) bend radius --&gt; bends 5xDN are prefered; due to arrangement issues elbows long radius (3D) or exceptional short radius (2D) could solve installation problems
5)</t>
  </si>
  <si>
    <t>ECDD</t>
  </si>
  <si>
    <r>
      <t xml:space="preserve">20 </t>
    </r>
    <r>
      <rPr>
        <vertAlign val="superscript"/>
        <sz val="8"/>
        <rFont val="Arial"/>
        <family val="2"/>
      </rPr>
      <t>3)</t>
    </r>
  </si>
  <si>
    <r>
      <t xml:space="preserve">32 </t>
    </r>
    <r>
      <rPr>
        <vertAlign val="superscript"/>
        <sz val="8"/>
        <rFont val="Arial"/>
        <family val="2"/>
      </rPr>
      <t>3)</t>
    </r>
  </si>
  <si>
    <t>PT06</t>
  </si>
  <si>
    <t>1) corrosion allowance = 0.5mm DN≤80 and 1mm DN&gt;80
2) w.n.f. = weld neck flange  (pressure rating according to EN1092-1, table G.6, material group 3E0 vR≤50mm / 50&lt;vR≤150)
3) DN20 and DN32 only used with reducers / DN65 and DN125 are NOT prefered diameter sizes
4) bend radius --&gt; bends 5xDN are prefered; due to arrangement issues elbows long radius (3D) or exceptional short radius (2D) could solve installation problems
5)</t>
  </si>
  <si>
    <t>1) corrosion allowance = 0.5mm DN≤80 and 1mm DN&gt;80
2) w.n.f. = weld neck flange  (pressure rating according to EN1092-1, table G.7, material group 3E0 vR≤50mm / 50&lt;vR≤150)
3) DN20 and DN32 only used with reducers / DN65 and DN125 are NOT prefered diameter sizes
4) bend radius --&gt; bends 5xDN are prefered; due to arrangement issues elbows long radius (3D) or exceptional short radius (2D) could solve installation problems
5)</t>
  </si>
  <si>
    <t>Refer to pipe class
ECDB_xxx (PN16)</t>
  </si>
  <si>
    <t>DIN 2510-5</t>
  </si>
  <si>
    <t>1.7218+QT (acc. EN10269)</t>
  </si>
  <si>
    <t>PN16/40</t>
  </si>
  <si>
    <r>
      <t>1) corrosion allowance = 0.5mm DN≤80 and 1mm DN&gt;80
2) w.n.f. = weld neck flange  (pressure rating according to EN1092-1, table G.4, material group 3E0 vR≤50mm / 50&lt;vR</t>
    </r>
    <r>
      <rPr>
        <sz val="8"/>
        <rFont val="Calibri"/>
        <family val="2"/>
      </rPr>
      <t>≤15</t>
    </r>
    <r>
      <rPr>
        <sz val="8"/>
        <rFont val="Arial"/>
        <family val="2"/>
      </rPr>
      <t>0)
3) DN20 and DN32 only used with reducers / DN65 and DN125 are NOT prefered diameter sizes
4) bend radius --&gt; bends 5xDN are prefered; due to arrangement issues elbows long radius (3D) or exceptional short radius (2D) could solve installation problems
5)</t>
    </r>
  </si>
  <si>
    <t>1) corrosion allowance = 0mm
2) w.n.f. = weld neck flange  (pressure rating according to EN1092-1, table G.7, material group 4E0 vR≤60mm / 60&lt;vR≤90)
3) DN20, DN32, DN65 and DN125 are NOT prefered diameter sizes
4) bend radius --&gt; bends 5xDN are prefered; due to arrangement issues elbows long radius (3D) or exceptional short radius (2D) could solve installation problems
5)</t>
  </si>
  <si>
    <t>1) corrosion allowance = 0.5mm DN≤40 (drains) else corrosion allowance = 0mm
2) w.n.f. = weld neck flange  (pressure rating according to EN1092-1, table G.9, material group 4E0 vR≤60mm / 60&lt;vR≤90)
3) DN20, DN32, DN65 and DN125 are NOT prefered diameter sizes
4) bend radius --&gt; bends 5xDN are prefered; due to arrangement issues elbows long radius (3D) or exceptional short radius (2D) could solve installation problems
5)</t>
  </si>
  <si>
    <t>1) corrosion allowance = 0.5mm DN≤40 (drains) else corrosion allowance = 0mm
2) w.n.f. = weld neck flange  (pressure rating according to EN1092-1, table G.10, material group 4E0 vR≤60mm / 60&lt;vR≤90)
3) DN20, DN32, DN65 and DN125 are NOT prefered diameter sizes
4) bend radius --&gt; bends 5xDN are prefered; due to arrangement issues elbows long radius (3D) or exceptional short radius (2D) could solve installation problems
5)</t>
  </si>
  <si>
    <t>1) corrosion allowance = 0mm
2) w.n.f. = weld neck flange  (pressure rating according to EN1092-1, table G.18, material group 15E0
3) DN20, DN32, DN65 and DN125 are NOT prefered diameter sizes / DN20 and DN32 only used with reducers
4) bend radius --&gt; bends 5xDN are prefered; due to arrangement issues elbows long radius (3D) or exceptional short radius (2D) could solve installation problems
5)
11) OD12 --&gt; considered for PS 160barg and TS 200°C (feedwater sampling)
12) DN15 --&gt; also considered for PS 13.3barg and TS 200°C (ammonia dosing feedwater tank)</t>
  </si>
  <si>
    <t>1) corrosion allowance = 0.5mm DN≤80 and 1mm DN&gt;80
2) w.n.f. = weld neck flange  (pressure rating according to EN1092-1, table G.9, material group 4E0 vR≤60mm / 60&lt;vR≤90)
3) DN20, DN32, DN65 and DN125 are NOT prefered diameter sizes
4) bend radius --&gt; bends 5xDN are prefered; due to arrangement issues elbows long radius (3D) or exceptional short radius (2D) could solve installation problems
5)</t>
  </si>
  <si>
    <t>1) corrosion allowance = 1mm
2) w.n.f. = weld neck flange  (pressure rating according to EN1092-1, table G.5, material group 5E0 vR≤60mm / 60&lt;vR≤90)
3) DN20, DN32, DN65 and DN125 are NOT prefered diameter sizes
4) bend radius --&gt; bends 5xDN are prefered; due to arrangement issues elbows long radius (3D) or exceptional short radius (2D) could solve installation problems
5)</t>
  </si>
  <si>
    <t>Klinger PSM or equal</t>
  </si>
  <si>
    <t>Graphit/SS</t>
  </si>
  <si>
    <t>Klingersil C4430 or equal</t>
  </si>
  <si>
    <t>Fibre</t>
  </si>
  <si>
    <t>PN25/40</t>
  </si>
  <si>
    <t>Klinger SpV2l or equal</t>
  </si>
  <si>
    <t>Special case HP-LP Station:</t>
  </si>
  <si>
    <t>xLBG10BR110</t>
  </si>
  <si>
    <t>xLBG10BR100</t>
  </si>
  <si>
    <t>Branch outlet made from 16Mo3</t>
  </si>
  <si>
    <t>(as transition piece)</t>
  </si>
  <si>
    <t>xLBG10BR100 shall be made from 13CrMo4-5
due to erosion reasons, including the first elbow!</t>
  </si>
  <si>
    <t>Connecting drain to be considerd as LP-Steam condensate</t>
  </si>
  <si>
    <r>
      <t>1.5415-TC2 (</t>
    </r>
    <r>
      <rPr>
        <sz val="7"/>
        <rFont val="Arial"/>
        <family val="2"/>
      </rPr>
      <t>tech. deliv.</t>
    </r>
    <r>
      <rPr>
        <sz val="8"/>
        <rFont val="Arial"/>
        <family val="2"/>
      </rPr>
      <t xml:space="preserve"> EN10253-2)</t>
    </r>
  </si>
  <si>
    <r>
      <t>1.5415-TC2 (</t>
    </r>
    <r>
      <rPr>
        <sz val="7"/>
        <rFont val="Arial"/>
        <family val="2"/>
      </rPr>
      <t>tech. deliv.</t>
    </r>
    <r>
      <rPr>
        <sz val="8"/>
        <rFont val="Arial"/>
        <family val="2"/>
      </rPr>
      <t xml:space="preserve"> EN10028-2)</t>
    </r>
  </si>
  <si>
    <r>
      <t>1.7335-TC2 (</t>
    </r>
    <r>
      <rPr>
        <sz val="7"/>
        <rFont val="Arial"/>
        <family val="2"/>
      </rPr>
      <t>tech. deliv.</t>
    </r>
    <r>
      <rPr>
        <sz val="8"/>
        <rFont val="Arial"/>
        <family val="2"/>
      </rPr>
      <t xml:space="preserve"> EN10253-2)</t>
    </r>
  </si>
  <si>
    <t>EN 10253-2 (B/A)</t>
  </si>
  <si>
    <t>T300) use T-Piece DN300/150 with reducer DN150/DN100 or DN150/DN80</t>
  </si>
  <si>
    <r>
      <t xml:space="preserve">- </t>
    </r>
    <r>
      <rPr>
        <vertAlign val="superscript"/>
        <sz val="10"/>
        <rFont val="Arial"/>
        <family val="2"/>
      </rPr>
      <t>T250)</t>
    </r>
  </si>
  <si>
    <t>T250) use T-Piece DN250/100 with reducer DN100/80</t>
  </si>
  <si>
    <t>W-57</t>
  </si>
  <si>
    <t>W-76</t>
  </si>
  <si>
    <t>1.0426 (tech. deliv. EN10222-2)</t>
  </si>
  <si>
    <t>T ≥ 200°C</t>
  </si>
  <si>
    <t>B-11</t>
  </si>
  <si>
    <t>1) corrosion allowance = 0.5mm DN≤80 and 1mm DN&gt;80
2) w.n.f. = weld neck flange  (pressure rating according to EN1092-1, table G.9, material group 3E0 vR≤50mm / 50&lt;vR≤150)
3) DN20 and DN32 only used with reducers / DN65 and DN125 are NOT prefered diameter sizes
4) bend radius --&gt; bends 5xDN are prefered; due to arrangement issues elbows long radius (3D) or exceptional short radius (2D) could solve installation problems
5)</t>
  </si>
  <si>
    <t>1) corrosion allowance = 0.5mm DN≤80 and 1mm DN&gt;80
2) w.n.f. = weld neck flange  (pressure rating according to EN1092-1, table G.10, material group 3E0 vR≤50mm / 50&lt;vR≤150)
3) DN20 and DN32 only used with reducers / DN65 and DN125 are NOT prefered diameter sizes
4) bend radius --&gt; bends 5xDN are prefered; due to arrangement issues elbows long radius (3D) or exceptional short radius (2D) could solve installation problems
5)</t>
  </si>
  <si>
    <t>W-32</t>
  </si>
  <si>
    <t>T200) use T-Piece DN200/80 with reducer DN80/65 or DN80/DN50</t>
  </si>
  <si>
    <t>W-67</t>
  </si>
  <si>
    <t>A-2.6</t>
  </si>
  <si>
    <t>Pipe wld SAWL - Bevelled End</t>
  </si>
  <si>
    <t>joint coefficient z = 1</t>
  </si>
  <si>
    <t>1.0345 (tech. deliv. EN10217-5)</t>
  </si>
  <si>
    <t xml:space="preserve">T200) use T-Piece DN200/80 with reducer DN80/DN65 or DN80/DN50 </t>
  </si>
  <si>
    <t>T250) use T-Piece DN200/100 with reducer DN100/DN80 or DN100/D65 or DN100/DN50</t>
  </si>
  <si>
    <t>(160)*
149</t>
  </si>
  <si>
    <t>W-72</t>
  </si>
  <si>
    <t>1) corrosion allowance = 0.5mm DN≤80 and 1mm DN&gt;80
2) w.n.f. = weld neck flange  (pressure rating according to EN1092-1, table G.10, material group 4E0 vR≤60mm / 60&lt;vR≤90)
    * according to EN12516-1, table 11, material group 4E0 --&gt; only 149bar(g) are possible
3) DN20, DN32, DN65 and DN125 are NOT prefered diameter sizes
4) bend radius --&gt; bends 5xDN are prefered; due to arrangement issues elbows long radius (3D) or exceptional short radius (2D) could solve installation problems
5)</t>
  </si>
  <si>
    <t>MP-Steam (T ≥ 300°C ÷ T ≤ 430°C)</t>
  </si>
  <si>
    <t>28.5
26.5</t>
  </si>
  <si>
    <t xml:space="preserve">T200) use T-Piece DN200/80 with reducer DN80/DN50 </t>
  </si>
  <si>
    <t>T250) use T-Piece DN250/100 with reducer DN100/DN80 or DN100/DN50</t>
  </si>
  <si>
    <t>T350) use T-Piece DN350/150 with reducer DN150/DN100 or DN150/DN80</t>
  </si>
  <si>
    <t>T400) use T-Piece DN400/150 with reducer DN150/DN100 or DN150/DN80</t>
  </si>
  <si>
    <t>64.2 bar(g)</t>
  </si>
  <si>
    <t>69 bar(g)</t>
  </si>
  <si>
    <t>90 bar(g)</t>
  </si>
  <si>
    <t>94.6 bar(g)</t>
  </si>
  <si>
    <t>T250) use T-Piece DN250/100 with reducer DN100/DN80</t>
  </si>
  <si>
    <t>PT01</t>
  </si>
  <si>
    <t>PT07</t>
  </si>
  <si>
    <t>PT08</t>
  </si>
  <si>
    <t>PT11</t>
  </si>
  <si>
    <t>PT05</t>
  </si>
  <si>
    <t>B-2.3</t>
  </si>
  <si>
    <t>1.5415-TC2 (tech. deliv. EN10253-2)</t>
  </si>
  <si>
    <t>DIN 43772</t>
  </si>
  <si>
    <t>Refer to second page 
(Branch Table)</t>
  </si>
  <si>
    <t>1.5415 (tech. deliv. EN10028-2)</t>
  </si>
  <si>
    <t>1.4541/Graphit</t>
  </si>
  <si>
    <t>T ≤ 450°C</t>
  </si>
  <si>
    <t>T &gt; 450</t>
  </si>
  <si>
    <t>EN 1514-6</t>
  </si>
  <si>
    <t>4.0mm grooved metal</t>
  </si>
  <si>
    <t>Klinger B29A or equal</t>
  </si>
  <si>
    <t>Condensate &amp; Steam (T≤450 °C)</t>
  </si>
  <si>
    <t>13.4
12.5</t>
  </si>
  <si>
    <t>M20</t>
  </si>
  <si>
    <t>PT02</t>
  </si>
  <si>
    <t>PT04</t>
  </si>
  <si>
    <t>PT14</t>
  </si>
  <si>
    <t>PT13</t>
  </si>
  <si>
    <t>PT03</t>
  </si>
  <si>
    <t>PT09</t>
  </si>
  <si>
    <t>PT17</t>
  </si>
  <si>
    <t>welded as default standard!</t>
  </si>
  <si>
    <t>check contract about welded or</t>
  </si>
  <si>
    <t>seamless requirements!</t>
  </si>
  <si>
    <t>to be completed with</t>
  </si>
  <si>
    <t>the parts (pipe &amp; fittings)</t>
  </si>
  <si>
    <t>if required</t>
  </si>
  <si>
    <t>made from 1.5415</t>
  </si>
  <si>
    <t>T ≥ 200/≤ 350°C</t>
  </si>
  <si>
    <t>T &gt; 350°C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</si>
</sst>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5" formatCode="0.0"/>
    <numFmt numFmtId="166" formatCode="#,##0\ &quot;°C&quot;;\-#,##0\ &quot;°C&quot;"/>
  </numFmts>
  <fonts count="27" x14ac:knownFonts="1">
    <font>
      <sz val="10"/>
      <name val="Arial"/>
    </font>
    <font>
      <sz val="10"/>
      <color theme="1"/>
      <name val="Arial"/>
      <family val="2"/>
    </font>
    <font>
      <sz val="10"/>
      <color theme="1"/>
      <name val="Arial"/>
      <family val="2"/>
    </font>
    <font>
      <sz val="10"/>
      <color theme="1"/>
      <name val="Arial"/>
      <family val="2"/>
    </font>
    <font>
      <sz val="10"/>
      <color theme="1"/>
      <name val="Arial"/>
      <family val="2"/>
    </font>
    <font>
      <sz val="8"/>
      <name val="Arial"/>
      <family val="2"/>
    </font>
    <font>
      <u/>
      <sz val="10"/>
      <color indexed="12"/>
      <name val="Arial"/>
      <family val="2"/>
    </font>
    <font>
      <b/>
      <sz val="8"/>
      <name val="Arial"/>
      <family val="2"/>
    </font>
    <font>
      <b/>
      <sz val="10"/>
      <name val="Arial"/>
      <family val="2"/>
    </font>
    <font>
      <sz val="10"/>
      <name val="Arial"/>
      <family val="2"/>
    </font>
    <font>
      <sz val="10"/>
      <color rgb="FF006100"/>
      <name val="Arial"/>
      <family val="2"/>
    </font>
    <font>
      <sz val="10"/>
      <color rgb="FF9C0006"/>
      <name val="Arial"/>
      <family val="2"/>
    </font>
    <font>
      <sz val="10"/>
      <color rgb="FF9C6500"/>
      <name val="Arial"/>
      <family val="2"/>
    </font>
    <font>
      <sz val="11"/>
      <color indexed="8"/>
      <name val="Calibri"/>
      <family val="2"/>
    </font>
    <font>
      <sz val="11"/>
      <color indexed="9"/>
      <name val="Calibri"/>
      <family val="2"/>
    </font>
    <font>
      <u/>
      <sz val="10"/>
      <color theme="10"/>
      <name val="Arial"/>
      <family val="2"/>
    </font>
    <font>
      <b/>
      <sz val="10"/>
      <name val="Times New Roman"/>
      <family val="1"/>
    </font>
    <font>
      <sz val="10"/>
      <name val="MS Sans Serif"/>
      <family val="2"/>
    </font>
    <font>
      <sz val="8"/>
      <name val="Arial"/>
      <family val="2"/>
    </font>
    <font>
      <vertAlign val="superscript"/>
      <sz val="8"/>
      <name val="Arial"/>
      <family val="2"/>
    </font>
    <font>
      <i/>
      <sz val="8"/>
      <name val="Arial"/>
      <family val="2"/>
    </font>
    <font>
      <vertAlign val="superscript"/>
      <sz val="10"/>
      <name val="Arial"/>
      <family val="2"/>
    </font>
    <font>
      <sz val="8"/>
      <name val="Calibri"/>
      <family val="2"/>
    </font>
    <font>
      <sz val="8"/>
      <name val="MS Sans Serif"/>
      <family val="2"/>
    </font>
    <font>
      <sz val="7"/>
      <name val="Arial"/>
      <family val="2"/>
    </font>
    <font>
      <sz val="10"/>
      <name val="Calibri"/>
      <family val="2"/>
    </font>
    <font>
      <sz val="6"/>
      <name val="Arial"/>
      <family val="2"/>
    </font>
  </fonts>
  <fills count="2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theme="3"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0000"/>
        <bgColor indexed="64"/>
      </patternFill>
    </fill>
    <fill>
      <patternFill patternType="solid">
        <fgColor rgb="FF00B0F0"/>
        <bgColor indexed="64"/>
      </patternFill>
    </fill>
  </fills>
  <borders count="133">
    <border>
      <left/>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top style="medium">
        <color indexed="64"/>
      </top>
      <bottom/>
      <diagonal/>
    </border>
    <border>
      <left style="thin">
        <color indexed="64"/>
      </left>
      <right/>
      <top style="medium">
        <color indexed="64"/>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hair">
        <color indexed="64"/>
      </left>
      <right style="medium">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right style="hair">
        <color indexed="64"/>
      </right>
      <top style="hair">
        <color indexed="64"/>
      </top>
      <bottom style="medium">
        <color indexed="64"/>
      </bottom>
      <diagonal/>
    </border>
    <border>
      <left style="medium">
        <color indexed="64"/>
      </left>
      <right/>
      <top style="hair">
        <color indexed="64"/>
      </top>
      <bottom style="medium">
        <color indexed="64"/>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style="hair">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top/>
      <bottom style="hair">
        <color indexed="64"/>
      </bottom>
      <diagonal/>
    </border>
    <border>
      <left/>
      <right style="hair">
        <color indexed="64"/>
      </right>
      <top style="thin">
        <color indexed="64"/>
      </top>
      <bottom style="hair">
        <color indexed="64"/>
      </bottom>
      <diagonal/>
    </border>
    <border>
      <left style="medium">
        <color indexed="64"/>
      </left>
      <right/>
      <top style="thin">
        <color indexed="64"/>
      </top>
      <bottom style="hair">
        <color indexed="64"/>
      </bottom>
      <diagonal/>
    </border>
    <border>
      <left style="hair">
        <color indexed="64"/>
      </left>
      <right style="medium">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top style="medium">
        <color indexed="64"/>
      </top>
      <bottom style="thin">
        <color indexed="64"/>
      </bottom>
      <diagonal/>
    </border>
    <border>
      <left/>
      <right style="hair">
        <color indexed="64"/>
      </right>
      <top style="medium">
        <color indexed="64"/>
      </top>
      <bottom style="thin">
        <color indexed="64"/>
      </bottom>
      <diagonal/>
    </border>
    <border>
      <left style="medium">
        <color indexed="64"/>
      </left>
      <right/>
      <top style="medium">
        <color indexed="64"/>
      </top>
      <bottom style="thin">
        <color indexed="64"/>
      </bottom>
      <diagonal/>
    </border>
    <border>
      <left style="hair">
        <color indexed="64"/>
      </left>
      <right style="medium">
        <color indexed="64"/>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right style="medium">
        <color indexed="64"/>
      </right>
      <top style="hair">
        <color indexed="64"/>
      </top>
      <bottom style="medium">
        <color indexed="64"/>
      </bottom>
      <diagonal/>
    </border>
    <border>
      <left/>
      <right/>
      <top style="hair">
        <color indexed="64"/>
      </top>
      <bottom style="medium">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style="medium">
        <color indexed="64"/>
      </left>
      <right/>
      <top style="hair">
        <color indexed="64"/>
      </top>
      <bottom/>
      <diagonal/>
    </border>
    <border>
      <left/>
      <right style="hair">
        <color indexed="64"/>
      </right>
      <top style="hair">
        <color indexed="64"/>
      </top>
      <bottom/>
      <diagonal/>
    </border>
    <border>
      <left style="hair">
        <color indexed="64"/>
      </left>
      <right/>
      <top style="hair">
        <color indexed="64"/>
      </top>
      <bottom/>
      <diagonal/>
    </border>
    <border>
      <left/>
      <right style="hair">
        <color indexed="64"/>
      </right>
      <top style="thin">
        <color indexed="64"/>
      </top>
      <bottom/>
      <diagonal/>
    </border>
    <border>
      <left/>
      <right style="hair">
        <color indexed="64"/>
      </right>
      <top/>
      <bottom/>
      <diagonal/>
    </border>
    <border>
      <left/>
      <right style="hair">
        <color indexed="64"/>
      </right>
      <top/>
      <bottom style="thin">
        <color indexed="64"/>
      </bottom>
      <diagonal/>
    </border>
    <border>
      <left style="hair">
        <color indexed="64"/>
      </left>
      <right/>
      <top style="thin">
        <color indexed="64"/>
      </top>
      <bottom/>
      <diagonal/>
    </border>
    <border>
      <left style="hair">
        <color indexed="64"/>
      </left>
      <right/>
      <top/>
      <bottom/>
      <diagonal/>
    </border>
    <border>
      <left style="hair">
        <color indexed="64"/>
      </left>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hair">
        <color indexed="64"/>
      </left>
      <right/>
      <top style="medium">
        <color indexed="64"/>
      </top>
      <bottom style="hair">
        <color indexed="64"/>
      </bottom>
      <diagonal/>
    </border>
    <border>
      <left style="hair">
        <color indexed="64"/>
      </left>
      <right/>
      <top style="medium">
        <color indexed="64"/>
      </top>
      <bottom/>
      <diagonal/>
    </border>
    <border>
      <left/>
      <right style="hair">
        <color indexed="64"/>
      </right>
      <top style="medium">
        <color indexed="64"/>
      </top>
      <bottom/>
      <diagonal/>
    </border>
    <border>
      <left/>
      <right style="thin">
        <color indexed="64"/>
      </right>
      <top style="medium">
        <color indexed="64"/>
      </top>
      <bottom/>
      <diagonal/>
    </border>
    <border>
      <left style="thin">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right style="thin">
        <color indexed="64"/>
      </right>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medium">
        <color indexed="64"/>
      </top>
      <bottom style="hair">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medium">
        <color indexed="64"/>
      </top>
      <bottom style="hair">
        <color indexed="64"/>
      </bottom>
      <diagonal/>
    </border>
    <border>
      <left style="medium">
        <color indexed="64"/>
      </left>
      <right/>
      <top style="thin">
        <color indexed="64"/>
      </top>
      <bottom style="thin">
        <color indexed="64"/>
      </bottom>
      <diagonal/>
    </border>
    <border>
      <left style="hair">
        <color indexed="64"/>
      </left>
      <right/>
      <top/>
      <bottom style="medium">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style="hair">
        <color indexed="64"/>
      </top>
      <bottom style="medium">
        <color indexed="64"/>
      </bottom>
      <diagonal/>
    </border>
    <border>
      <left style="thin">
        <color indexed="64"/>
      </left>
      <right style="hair">
        <color indexed="64"/>
      </right>
      <top style="medium">
        <color indexed="64"/>
      </top>
      <bottom style="thin">
        <color indexed="64"/>
      </bottom>
      <diagonal/>
    </border>
    <border>
      <left style="thin">
        <color indexed="64"/>
      </left>
      <right style="hair">
        <color indexed="64"/>
      </right>
      <top style="hair">
        <color indexed="64"/>
      </top>
      <bottom/>
      <diagonal/>
    </border>
    <border>
      <left style="hair">
        <color indexed="64"/>
      </left>
      <right style="thin">
        <color indexed="64"/>
      </right>
      <top style="hair">
        <color indexed="64"/>
      </top>
      <bottom/>
      <diagonal/>
    </border>
    <border>
      <left/>
      <right style="medium">
        <color indexed="64"/>
      </right>
      <top style="hair">
        <color indexed="64"/>
      </top>
      <bottom/>
      <diagonal/>
    </border>
    <border>
      <left/>
      <right style="thin">
        <color indexed="64"/>
      </right>
      <top style="hair">
        <color indexed="64"/>
      </top>
      <bottom style="medium">
        <color indexed="64"/>
      </bottom>
      <diagonal/>
    </border>
    <border>
      <left/>
      <right style="hair">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medium">
        <color indexed="64"/>
      </right>
      <top/>
      <bottom style="thin">
        <color indexed="64"/>
      </bottom>
      <diagonal/>
    </border>
    <border>
      <left style="hair">
        <color indexed="64"/>
      </left>
      <right style="medium">
        <color indexed="64"/>
      </right>
      <top style="hair">
        <color indexed="64"/>
      </top>
      <bottom/>
      <diagonal/>
    </border>
    <border>
      <left style="hair">
        <color indexed="64"/>
      </left>
      <right style="hair">
        <color indexed="64"/>
      </right>
      <top style="medium">
        <color indexed="64"/>
      </top>
      <bottom/>
      <diagonal/>
    </border>
    <border>
      <left style="thin">
        <color indexed="64"/>
      </left>
      <right style="thin">
        <color indexed="64"/>
      </right>
      <top style="hair">
        <color indexed="64"/>
      </top>
      <bottom/>
      <diagonal/>
    </border>
    <border>
      <left style="thin">
        <color indexed="64"/>
      </left>
      <right style="thin">
        <color indexed="64"/>
      </right>
      <top style="thin">
        <color indexed="64"/>
      </top>
      <bottom style="hair">
        <color indexed="64"/>
      </bottom>
      <diagonal/>
    </border>
    <border>
      <left/>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thin">
        <color indexed="64"/>
      </top>
      <bottom style="hair">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medium">
        <color indexed="64"/>
      </bottom>
      <diagonal/>
    </border>
    <border>
      <left style="medium">
        <color indexed="64"/>
      </left>
      <right/>
      <top/>
      <bottom style="hair">
        <color indexed="64"/>
      </bottom>
      <diagonal/>
    </border>
    <border>
      <left/>
      <right style="hair">
        <color indexed="64"/>
      </right>
      <top/>
      <bottom style="medium">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s>
  <cellStyleXfs count="82">
    <xf numFmtId="0" fontId="0" fillId="0" borderId="0"/>
    <xf numFmtId="0" fontId="4" fillId="0" borderId="0"/>
    <xf numFmtId="0" fontId="3" fillId="0" borderId="0"/>
    <xf numFmtId="0" fontId="2" fillId="0" borderId="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3" fillId="14" borderId="0" applyNumberFormat="0" applyBorder="0" applyAlignment="0" applyProtection="0"/>
    <xf numFmtId="0" fontId="14" fillId="15"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0" fillId="2" borderId="0" applyNumberFormat="0" applyBorder="0" applyAlignment="0" applyProtection="0"/>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15" fillId="0" borderId="0" applyNumberFormat="0" applyFill="0" applyBorder="0" applyAlignment="0" applyProtection="0"/>
    <xf numFmtId="0" fontId="12" fillId="4" borderId="0" applyNumberFormat="0" applyBorder="0" applyAlignment="0" applyProtection="0"/>
    <xf numFmtId="0" fontId="11" fillId="3" borderId="0" applyNumberFormat="0" applyBorder="0" applyAlignment="0" applyProtection="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xf numFmtId="0" fontId="9" fillId="0" borderId="0"/>
    <xf numFmtId="0" fontId="1" fillId="0" borderId="0"/>
    <xf numFmtId="0" fontId="9" fillId="0" borderId="0"/>
  </cellStyleXfs>
  <cellXfs count="914">
    <xf numFmtId="0" fontId="0" fillId="0" borderId="0" xfId="0"/>
    <xf numFmtId="0" fontId="0" fillId="0" borderId="2" xfId="0" applyBorder="1"/>
    <xf numFmtId="0" fontId="9" fillId="0" borderId="0" xfId="0" applyFont="1"/>
    <xf numFmtId="0" fontId="1" fillId="20" borderId="0" xfId="29" applyFill="1"/>
    <xf numFmtId="0" fontId="1" fillId="0" borderId="0" xfId="29"/>
    <xf numFmtId="0" fontId="16" fillId="20" borderId="16" xfId="29" applyFont="1" applyFill="1" applyBorder="1" applyAlignment="1">
      <alignment vertical="center" wrapText="1"/>
    </xf>
    <xf numFmtId="0" fontId="16" fillId="20" borderId="17" xfId="29" applyFont="1" applyFill="1" applyBorder="1" applyAlignment="1">
      <alignment horizontal="justify" vertical="center" wrapText="1"/>
    </xf>
    <xf numFmtId="0" fontId="8" fillId="19" borderId="15" xfId="29" applyFont="1" applyFill="1" applyBorder="1" applyAlignment="1">
      <alignment vertical="center" wrapText="1"/>
    </xf>
    <xf numFmtId="0" fontId="9" fillId="20" borderId="16" xfId="29" applyFont="1" applyFill="1" applyBorder="1" applyAlignment="1">
      <alignment vertical="center" wrapText="1"/>
    </xf>
    <xf numFmtId="0" fontId="9" fillId="20" borderId="15" xfId="29" applyFont="1" applyFill="1" applyBorder="1" applyAlignment="1">
      <alignment vertical="center" wrapText="1"/>
    </xf>
    <xf numFmtId="0" fontId="9" fillId="20" borderId="15" xfId="29" applyFont="1" applyFill="1" applyBorder="1" applyAlignment="1">
      <alignment horizontal="justify" vertical="center" wrapText="1"/>
    </xf>
    <xf numFmtId="0" fontId="9" fillId="20" borderId="15" xfId="0" applyFont="1" applyFill="1" applyBorder="1" applyAlignment="1">
      <alignment vertical="center" wrapText="1"/>
    </xf>
    <xf numFmtId="0" fontId="9" fillId="20" borderId="16" xfId="0" applyFont="1" applyFill="1" applyBorder="1" applyAlignment="1">
      <alignment vertical="center" wrapText="1"/>
    </xf>
    <xf numFmtId="0" fontId="17" fillId="0" borderId="0" xfId="78" applyAlignment="1">
      <alignment vertical="center"/>
    </xf>
    <xf numFmtId="0" fontId="5" fillId="0" borderId="23" xfId="78" applyFont="1" applyBorder="1" applyAlignment="1">
      <alignment horizontal="center" vertical="center"/>
    </xf>
    <xf numFmtId="0" fontId="5" fillId="0" borderId="24" xfId="78" applyFont="1" applyBorder="1" applyAlignment="1">
      <alignment horizontal="left" vertical="center"/>
    </xf>
    <xf numFmtId="0" fontId="5" fillId="0" borderId="26" xfId="78" applyFont="1" applyBorder="1" applyAlignment="1">
      <alignment vertical="center"/>
    </xf>
    <xf numFmtId="0" fontId="7" fillId="0" borderId="26" xfId="78" applyFont="1" applyBorder="1" applyAlignment="1">
      <alignment vertical="center"/>
    </xf>
    <xf numFmtId="0" fontId="5" fillId="0" borderId="27" xfId="78" applyFont="1" applyBorder="1" applyAlignment="1">
      <alignment vertical="center"/>
    </xf>
    <xf numFmtId="0" fontId="5" fillId="0" borderId="20" xfId="78" applyFont="1" applyBorder="1" applyAlignment="1">
      <alignment vertical="center"/>
    </xf>
    <xf numFmtId="0" fontId="5" fillId="0" borderId="30" xfId="78" applyFont="1" applyBorder="1" applyAlignment="1">
      <alignment vertical="center"/>
    </xf>
    <xf numFmtId="0" fontId="17" fillId="0" borderId="20" xfId="78" applyBorder="1" applyAlignment="1">
      <alignment vertical="center"/>
    </xf>
    <xf numFmtId="0" fontId="5" fillId="0" borderId="2" xfId="78" applyFont="1" applyBorder="1" applyAlignment="1">
      <alignment horizontal="center" vertical="center"/>
    </xf>
    <xf numFmtId="0" fontId="5" fillId="0" borderId="11" xfId="78" applyFont="1" applyBorder="1" applyAlignment="1">
      <alignment horizontal="center" vertical="center"/>
    </xf>
    <xf numFmtId="0" fontId="5" fillId="0" borderId="1" xfId="78" applyFont="1" applyBorder="1" applyAlignment="1">
      <alignment horizontal="center" vertical="center"/>
    </xf>
    <xf numFmtId="0" fontId="5" fillId="0" borderId="9" xfId="78" applyFont="1" applyBorder="1" applyAlignment="1">
      <alignment horizontal="center" vertical="center"/>
    </xf>
    <xf numFmtId="0" fontId="5" fillId="0" borderId="32" xfId="78" applyFont="1" applyBorder="1" applyAlignment="1">
      <alignment vertical="center"/>
    </xf>
    <xf numFmtId="0" fontId="5" fillId="0" borderId="10" xfId="78" applyFont="1" applyBorder="1" applyAlignment="1">
      <alignment horizontal="center" vertical="center"/>
    </xf>
    <xf numFmtId="0" fontId="5" fillId="0" borderId="3" xfId="78" applyFont="1" applyBorder="1" applyAlignment="1">
      <alignment horizontal="center" vertical="center"/>
    </xf>
    <xf numFmtId="0" fontId="5" fillId="0" borderId="6" xfId="78" applyFont="1" applyBorder="1" applyAlignment="1">
      <alignment horizontal="center" vertical="center"/>
    </xf>
    <xf numFmtId="0" fontId="5" fillId="0" borderId="14" xfId="78" applyFont="1" applyBorder="1" applyAlignment="1">
      <alignment horizontal="center" vertical="center"/>
    </xf>
    <xf numFmtId="0" fontId="7" fillId="0" borderId="20" xfId="78" applyFont="1" applyBorder="1" applyAlignment="1">
      <alignment vertical="center"/>
    </xf>
    <xf numFmtId="165" fontId="5" fillId="0" borderId="38" xfId="78" applyNumberFormat="1" applyFont="1" applyBorder="1" applyAlignment="1">
      <alignment horizontal="center" vertical="center"/>
    </xf>
    <xf numFmtId="165" fontId="5" fillId="0" borderId="44" xfId="78" applyNumberFormat="1" applyFont="1" applyBorder="1" applyAlignment="1">
      <alignment horizontal="center" vertical="center"/>
    </xf>
    <xf numFmtId="165" fontId="5" fillId="0" borderId="47" xfId="78" applyNumberFormat="1" applyFont="1" applyBorder="1" applyAlignment="1">
      <alignment horizontal="center" vertical="center"/>
    </xf>
    <xf numFmtId="165" fontId="5" fillId="0" borderId="48" xfId="78" applyNumberFormat="1" applyFont="1" applyBorder="1" applyAlignment="1">
      <alignment horizontal="center" vertical="center"/>
    </xf>
    <xf numFmtId="165" fontId="5" fillId="0" borderId="49" xfId="78" applyNumberFormat="1" applyFont="1" applyBorder="1" applyAlignment="1">
      <alignment horizontal="center" vertical="center"/>
    </xf>
    <xf numFmtId="1" fontId="5" fillId="0" borderId="52" xfId="78" applyNumberFormat="1" applyFont="1" applyBorder="1" applyAlignment="1">
      <alignment horizontal="center" vertical="center"/>
    </xf>
    <xf numFmtId="1" fontId="5" fillId="0" borderId="53" xfId="78" applyNumberFormat="1" applyFont="1" applyBorder="1" applyAlignment="1">
      <alignment horizontal="center" vertical="center"/>
    </xf>
    <xf numFmtId="165" fontId="5" fillId="0" borderId="36" xfId="78" quotePrefix="1" applyNumberFormat="1" applyFont="1" applyBorder="1" applyAlignment="1">
      <alignment horizontal="center" vertical="center"/>
    </xf>
    <xf numFmtId="165" fontId="5" fillId="0" borderId="37" xfId="78" quotePrefix="1" applyNumberFormat="1" applyFont="1" applyBorder="1" applyAlignment="1">
      <alignment horizontal="center" vertical="center"/>
    </xf>
    <xf numFmtId="165" fontId="5" fillId="0" borderId="57" xfId="78" applyNumberFormat="1" applyFont="1" applyBorder="1" applyAlignment="1">
      <alignment horizontal="center" vertical="center"/>
    </xf>
    <xf numFmtId="165" fontId="5" fillId="0" borderId="58" xfId="78" applyNumberFormat="1" applyFont="1" applyBorder="1" applyAlignment="1">
      <alignment horizontal="center" vertical="center"/>
    </xf>
    <xf numFmtId="1" fontId="5" fillId="0" borderId="59" xfId="78" applyNumberFormat="1" applyFont="1" applyBorder="1" applyAlignment="1">
      <alignment horizontal="center" vertical="center"/>
    </xf>
    <xf numFmtId="1" fontId="5" fillId="0" borderId="60" xfId="78" applyNumberFormat="1" applyFont="1" applyBorder="1" applyAlignment="1">
      <alignment horizontal="center" vertical="center"/>
    </xf>
    <xf numFmtId="0" fontId="5" fillId="0" borderId="37" xfId="78" applyFont="1" applyBorder="1" applyAlignment="1">
      <alignment horizontal="center" vertical="center" wrapText="1"/>
    </xf>
    <xf numFmtId="0" fontId="5" fillId="0" borderId="18" xfId="78" applyFont="1" applyBorder="1" applyAlignment="1">
      <alignment horizontal="left" vertical="center"/>
    </xf>
    <xf numFmtId="166" fontId="5" fillId="0" borderId="61" xfId="78" applyNumberFormat="1" applyFont="1" applyBorder="1" applyAlignment="1">
      <alignment horizontal="center" vertical="center"/>
    </xf>
    <xf numFmtId="166" fontId="5" fillId="0" borderId="60" xfId="78" applyNumberFormat="1" applyFont="1" applyBorder="1" applyAlignment="1">
      <alignment horizontal="center" vertical="center"/>
    </xf>
    <xf numFmtId="0" fontId="5" fillId="0" borderId="62" xfId="78" applyFont="1" applyBorder="1" applyAlignment="1">
      <alignment horizontal="center" vertical="center"/>
    </xf>
    <xf numFmtId="0" fontId="5" fillId="0" borderId="63" xfId="78" applyFont="1" applyBorder="1" applyAlignment="1">
      <alignment horizontal="left" vertical="center"/>
    </xf>
    <xf numFmtId="0" fontId="5" fillId="0" borderId="20" xfId="78" applyFont="1" applyBorder="1" applyAlignment="1">
      <alignment horizontal="left" vertical="center"/>
    </xf>
    <xf numFmtId="0" fontId="5" fillId="0" borderId="25" xfId="78" applyFont="1" applyBorder="1" applyAlignment="1">
      <alignment horizontal="center" vertical="center"/>
    </xf>
    <xf numFmtId="0" fontId="5" fillId="0" borderId="23" xfId="78" applyFont="1" applyBorder="1" applyAlignment="1">
      <alignment vertical="center"/>
    </xf>
    <xf numFmtId="0" fontId="9" fillId="0" borderId="23" xfId="78" applyFont="1" applyBorder="1" applyAlignment="1">
      <alignment vertical="center"/>
    </xf>
    <xf numFmtId="0" fontId="8" fillId="0" borderId="23" xfId="78" applyFont="1" applyBorder="1" applyAlignment="1">
      <alignment vertical="center"/>
    </xf>
    <xf numFmtId="0" fontId="8" fillId="0" borderId="18" xfId="78" applyFont="1" applyBorder="1" applyAlignment="1">
      <alignment vertical="center"/>
    </xf>
    <xf numFmtId="0" fontId="5" fillId="0" borderId="67" xfId="78" applyFont="1" applyBorder="1" applyAlignment="1">
      <alignment horizontal="left" vertical="center"/>
    </xf>
    <xf numFmtId="0" fontId="5" fillId="0" borderId="68" xfId="78" applyFont="1" applyBorder="1" applyAlignment="1">
      <alignment horizontal="center" vertical="center"/>
    </xf>
    <xf numFmtId="0" fontId="5" fillId="0" borderId="2" xfId="78" applyFont="1" applyBorder="1" applyAlignment="1">
      <alignment vertical="center"/>
    </xf>
    <xf numFmtId="0" fontId="5" fillId="0" borderId="0" xfId="78" applyFont="1" applyAlignment="1">
      <alignment vertical="center"/>
    </xf>
    <xf numFmtId="0" fontId="9" fillId="0" borderId="0" xfId="78" applyFont="1" applyAlignment="1">
      <alignment vertical="center"/>
    </xf>
    <xf numFmtId="0" fontId="8" fillId="0" borderId="0" xfId="78" applyFont="1" applyAlignment="1">
      <alignment vertical="center"/>
    </xf>
    <xf numFmtId="0" fontId="9" fillId="0" borderId="20" xfId="78" applyFont="1" applyBorder="1" applyAlignment="1">
      <alignment vertical="center"/>
    </xf>
    <xf numFmtId="0" fontId="5" fillId="0" borderId="67" xfId="78" applyFont="1" applyBorder="1" applyAlignment="1">
      <alignment vertical="center"/>
    </xf>
    <xf numFmtId="0" fontId="5" fillId="0" borderId="66" xfId="78" applyFont="1" applyBorder="1" applyAlignment="1">
      <alignment vertical="center"/>
    </xf>
    <xf numFmtId="0" fontId="5" fillId="0" borderId="70" xfId="78" applyFont="1" applyBorder="1" applyAlignment="1">
      <alignment vertical="center"/>
    </xf>
    <xf numFmtId="3" fontId="7" fillId="0" borderId="71" xfId="78" quotePrefix="1" applyNumberFormat="1" applyFont="1" applyBorder="1" applyAlignment="1">
      <alignment horizontal="left" vertical="center"/>
    </xf>
    <xf numFmtId="0" fontId="5" fillId="0" borderId="71" xfId="78" applyFont="1" applyBorder="1" applyAlignment="1">
      <alignment vertical="center"/>
    </xf>
    <xf numFmtId="1" fontId="7" fillId="0" borderId="72" xfId="78" applyNumberFormat="1" applyFont="1" applyBorder="1" applyAlignment="1">
      <alignment horizontal="center" vertical="center"/>
    </xf>
    <xf numFmtId="0" fontId="7" fillId="0" borderId="71" xfId="78" applyFont="1" applyBorder="1" applyAlignment="1">
      <alignment horizontal="left" vertical="center"/>
    </xf>
    <xf numFmtId="0" fontId="9" fillId="0" borderId="26" xfId="78" applyFont="1" applyBorder="1" applyAlignment="1">
      <alignment vertical="center"/>
    </xf>
    <xf numFmtId="0" fontId="8" fillId="0" borderId="26" xfId="78" applyFont="1" applyBorder="1" applyAlignment="1">
      <alignment vertical="center"/>
    </xf>
    <xf numFmtId="0" fontId="8" fillId="0" borderId="21" xfId="78" applyFont="1" applyBorder="1" applyAlignment="1">
      <alignment vertical="center"/>
    </xf>
    <xf numFmtId="0" fontId="0" fillId="0" borderId="66" xfId="0" applyBorder="1" applyAlignment="1">
      <alignment horizontal="left" vertical="center"/>
    </xf>
    <xf numFmtId="0" fontId="0" fillId="0" borderId="66" xfId="0" applyBorder="1" applyAlignment="1">
      <alignment vertical="center"/>
    </xf>
    <xf numFmtId="0" fontId="5" fillId="0" borderId="69" xfId="78" applyFont="1" applyBorder="1" applyAlignment="1">
      <alignment horizontal="left" vertical="top"/>
    </xf>
    <xf numFmtId="0" fontId="5" fillId="0" borderId="66" xfId="78" applyFont="1" applyBorder="1" applyAlignment="1">
      <alignment horizontal="left" vertical="top"/>
    </xf>
    <xf numFmtId="1" fontId="5" fillId="0" borderId="54" xfId="78" applyNumberFormat="1" applyFont="1" applyBorder="1" applyAlignment="1">
      <alignment horizontal="center" vertical="center"/>
    </xf>
    <xf numFmtId="0" fontId="7" fillId="0" borderId="64" xfId="78" applyFont="1" applyBorder="1" applyAlignment="1">
      <alignment horizontal="center" vertical="center"/>
    </xf>
    <xf numFmtId="0" fontId="5" fillId="0" borderId="0" xfId="78" applyFont="1" applyAlignment="1">
      <alignment horizontal="left" vertical="center"/>
    </xf>
    <xf numFmtId="0" fontId="5" fillId="0" borderId="66" xfId="78" applyFont="1" applyBorder="1" applyAlignment="1">
      <alignment horizontal="left" vertical="center"/>
    </xf>
    <xf numFmtId="0" fontId="5" fillId="0" borderId="24" xfId="78" applyFont="1" applyBorder="1" applyAlignment="1">
      <alignment horizontal="left" vertical="top"/>
    </xf>
    <xf numFmtId="0" fontId="5" fillId="0" borderId="23" xfId="78" applyFont="1" applyBorder="1" applyAlignment="1">
      <alignment horizontal="left" vertical="top"/>
    </xf>
    <xf numFmtId="165" fontId="5" fillId="0" borderId="74" xfId="78" applyNumberFormat="1" applyFont="1" applyBorder="1" applyAlignment="1">
      <alignment horizontal="left" vertical="center"/>
    </xf>
    <xf numFmtId="165" fontId="5" fillId="0" borderId="75" xfId="78" applyNumberFormat="1" applyFont="1" applyBorder="1" applyAlignment="1">
      <alignment horizontal="left" vertical="center"/>
    </xf>
    <xf numFmtId="165" fontId="5" fillId="0" borderId="76" xfId="78" applyNumberFormat="1" applyFont="1" applyBorder="1" applyAlignment="1">
      <alignment horizontal="center" vertical="center"/>
    </xf>
    <xf numFmtId="165" fontId="5" fillId="0" borderId="35" xfId="78" quotePrefix="1" applyNumberFormat="1" applyFont="1" applyBorder="1" applyAlignment="1">
      <alignment horizontal="center" vertical="center"/>
    </xf>
    <xf numFmtId="0" fontId="17" fillId="0" borderId="1" xfId="78" applyBorder="1" applyAlignment="1">
      <alignment vertical="center"/>
    </xf>
    <xf numFmtId="0" fontId="17" fillId="0" borderId="19" xfId="78" applyBorder="1" applyAlignment="1">
      <alignment vertical="center"/>
    </xf>
    <xf numFmtId="0" fontId="17" fillId="0" borderId="6" xfId="78" applyBorder="1" applyAlignment="1">
      <alignment vertical="center"/>
    </xf>
    <xf numFmtId="0" fontId="17" fillId="0" borderId="7" xfId="78" applyBorder="1" applyAlignment="1">
      <alignment vertical="center"/>
    </xf>
    <xf numFmtId="0" fontId="17" fillId="0" borderId="29" xfId="78" applyBorder="1" applyAlignment="1">
      <alignment vertical="center"/>
    </xf>
    <xf numFmtId="0" fontId="5" fillId="0" borderId="1" xfId="78" applyFont="1" applyBorder="1" applyAlignment="1">
      <alignment vertical="center"/>
    </xf>
    <xf numFmtId="0" fontId="17" fillId="0" borderId="3" xfId="78" applyBorder="1" applyAlignment="1">
      <alignment vertical="center"/>
    </xf>
    <xf numFmtId="0" fontId="17" fillId="0" borderId="4" xfId="78" applyBorder="1" applyAlignment="1">
      <alignment vertical="center"/>
    </xf>
    <xf numFmtId="0" fontId="17" fillId="0" borderId="28" xfId="78" applyBorder="1" applyAlignment="1">
      <alignment vertical="center"/>
    </xf>
    <xf numFmtId="0" fontId="5" fillId="0" borderId="83" xfId="78" applyFont="1" applyBorder="1" applyAlignment="1">
      <alignment horizontal="center" vertical="center"/>
    </xf>
    <xf numFmtId="0" fontId="5" fillId="0" borderId="84" xfId="78" applyFont="1" applyBorder="1" applyAlignment="1">
      <alignment horizontal="center" vertical="center"/>
    </xf>
    <xf numFmtId="0" fontId="5" fillId="0" borderId="85" xfId="78" applyFont="1" applyBorder="1" applyAlignment="1">
      <alignment horizontal="left" vertical="center"/>
    </xf>
    <xf numFmtId="0" fontId="5" fillId="0" borderId="69" xfId="78" applyFont="1" applyBorder="1" applyAlignment="1">
      <alignment horizontal="left" vertical="center"/>
    </xf>
    <xf numFmtId="0" fontId="5" fillId="0" borderId="66" xfId="78" applyFont="1" applyBorder="1" applyAlignment="1">
      <alignment horizontal="center" vertical="center"/>
    </xf>
    <xf numFmtId="165" fontId="5" fillId="0" borderId="65" xfId="78" applyNumberFormat="1" applyFont="1" applyBorder="1" applyAlignment="1">
      <alignment horizontal="center" vertical="center"/>
    </xf>
    <xf numFmtId="0" fontId="17" fillId="0" borderId="26" xfId="78" applyBorder="1" applyAlignment="1">
      <alignment vertical="center"/>
    </xf>
    <xf numFmtId="166" fontId="5" fillId="0" borderId="86" xfId="78" applyNumberFormat="1" applyFont="1" applyBorder="1" applyAlignment="1">
      <alignment horizontal="center" vertical="center"/>
    </xf>
    <xf numFmtId="0" fontId="17" fillId="0" borderId="70" xfId="78" applyBorder="1" applyAlignment="1">
      <alignment vertical="center"/>
    </xf>
    <xf numFmtId="0" fontId="17" fillId="0" borderId="64" xfId="78" applyBorder="1" applyAlignment="1">
      <alignment vertical="center"/>
    </xf>
    <xf numFmtId="0" fontId="17" fillId="0" borderId="61" xfId="78" applyBorder="1" applyAlignment="1">
      <alignment vertical="center"/>
    </xf>
    <xf numFmtId="0" fontId="17" fillId="0" borderId="36" xfId="78" applyBorder="1" applyAlignment="1">
      <alignment vertical="center"/>
    </xf>
    <xf numFmtId="0" fontId="5" fillId="0" borderId="6" xfId="78" applyFont="1" applyBorder="1" applyAlignment="1">
      <alignment vertical="center"/>
    </xf>
    <xf numFmtId="0" fontId="5" fillId="0" borderId="85" xfId="78" applyFont="1" applyBorder="1" applyAlignment="1">
      <alignment horizontal="center" vertical="center"/>
    </xf>
    <xf numFmtId="0" fontId="5" fillId="0" borderId="5" xfId="78" applyFont="1" applyBorder="1" applyAlignment="1">
      <alignment horizontal="left" vertical="center"/>
    </xf>
    <xf numFmtId="0" fontId="5" fillId="0" borderId="79" xfId="78" quotePrefix="1" applyFont="1" applyBorder="1" applyAlignment="1">
      <alignment horizontal="left" vertical="center"/>
    </xf>
    <xf numFmtId="0" fontId="7" fillId="0" borderId="65" xfId="78" applyFont="1" applyBorder="1" applyAlignment="1">
      <alignment horizontal="left" vertical="center"/>
    </xf>
    <xf numFmtId="0" fontId="5" fillId="0" borderId="73" xfId="78" applyFont="1" applyBorder="1" applyAlignment="1">
      <alignment horizontal="left" vertical="center"/>
    </xf>
    <xf numFmtId="49" fontId="5" fillId="0" borderId="66" xfId="78" applyNumberFormat="1" applyFont="1" applyBorder="1" applyAlignment="1">
      <alignment horizontal="left" vertical="center"/>
    </xf>
    <xf numFmtId="0" fontId="7" fillId="0" borderId="71" xfId="78" applyFont="1" applyBorder="1" applyAlignment="1">
      <alignment horizontal="center" vertical="center"/>
    </xf>
    <xf numFmtId="0" fontId="8" fillId="0" borderId="0" xfId="0" applyFont="1"/>
    <xf numFmtId="0" fontId="9" fillId="0" borderId="2" xfId="0" applyFont="1" applyBorder="1"/>
    <xf numFmtId="0" fontId="7" fillId="0" borderId="18" xfId="78" applyFont="1" applyBorder="1" applyAlignment="1">
      <alignment horizontal="center" vertical="center"/>
    </xf>
    <xf numFmtId="0" fontId="5" fillId="0" borderId="23" xfId="78" applyFont="1" applyBorder="1" applyAlignment="1">
      <alignment horizontal="left" vertical="center"/>
    </xf>
    <xf numFmtId="0" fontId="17" fillId="0" borderId="18" xfId="78" applyBorder="1" applyAlignment="1">
      <alignment vertical="center"/>
    </xf>
    <xf numFmtId="0" fontId="5" fillId="0" borderId="3" xfId="78" quotePrefix="1" applyFont="1" applyBorder="1" applyAlignment="1">
      <alignment horizontal="left" vertical="center"/>
    </xf>
    <xf numFmtId="0" fontId="5" fillId="0" borderId="4" xfId="78" quotePrefix="1" applyFont="1" applyBorder="1" applyAlignment="1">
      <alignment horizontal="left" vertical="center"/>
    </xf>
    <xf numFmtId="0" fontId="5" fillId="0" borderId="4" xfId="78" applyFont="1" applyBorder="1" applyAlignment="1">
      <alignment horizontal="left" vertical="center"/>
    </xf>
    <xf numFmtId="0" fontId="9" fillId="0" borderId="83" xfId="78" applyFont="1" applyBorder="1" applyAlignment="1">
      <alignment horizontal="center" vertical="center"/>
    </xf>
    <xf numFmtId="0" fontId="9" fillId="0" borderId="84" xfId="78" applyFont="1" applyBorder="1" applyAlignment="1">
      <alignment horizontal="center" vertical="center"/>
    </xf>
    <xf numFmtId="0" fontId="9" fillId="0" borderId="9" xfId="78" applyFont="1" applyBorder="1" applyAlignment="1">
      <alignment horizontal="center" vertical="center"/>
    </xf>
    <xf numFmtId="0" fontId="9" fillId="0" borderId="11" xfId="78" applyFont="1" applyBorder="1" applyAlignment="1">
      <alignment horizontal="center" vertical="center"/>
    </xf>
    <xf numFmtId="0" fontId="17" fillId="0" borderId="8" xfId="78" applyBorder="1" applyAlignment="1">
      <alignment vertical="center"/>
    </xf>
    <xf numFmtId="0" fontId="17" fillId="0" borderId="2" xfId="78" applyBorder="1" applyAlignment="1">
      <alignment vertical="center"/>
    </xf>
    <xf numFmtId="0" fontId="17" fillId="0" borderId="5" xfId="78" applyBorder="1" applyAlignment="1">
      <alignment vertical="center"/>
    </xf>
    <xf numFmtId="0" fontId="17" fillId="0" borderId="10" xfId="78" applyBorder="1" applyAlignment="1">
      <alignment vertical="center"/>
    </xf>
    <xf numFmtId="0" fontId="17" fillId="0" borderId="79" xfId="78" applyBorder="1" applyAlignment="1">
      <alignment vertical="center"/>
    </xf>
    <xf numFmtId="0" fontId="17" fillId="0" borderId="82" xfId="78" applyBorder="1" applyAlignment="1">
      <alignment vertical="center"/>
    </xf>
    <xf numFmtId="0" fontId="17" fillId="0" borderId="85" xfId="78" applyBorder="1" applyAlignment="1">
      <alignment vertical="center"/>
    </xf>
    <xf numFmtId="1" fontId="0" fillId="0" borderId="12" xfId="0" applyNumberFormat="1" applyBorder="1" applyAlignment="1">
      <alignment horizontal="center" vertical="center"/>
    </xf>
    <xf numFmtId="1" fontId="0" fillId="0" borderId="0" xfId="0" applyNumberFormat="1" applyAlignment="1">
      <alignment horizontal="center" vertical="center"/>
    </xf>
    <xf numFmtId="1" fontId="0" fillId="0" borderId="0" xfId="0" applyNumberFormat="1"/>
    <xf numFmtId="1" fontId="9" fillId="0" borderId="12" xfId="0" applyNumberFormat="1" applyFont="1" applyBorder="1" applyAlignment="1">
      <alignment horizontal="center" vertical="center"/>
    </xf>
    <xf numFmtId="1" fontId="0" fillId="0" borderId="9" xfId="0" applyNumberFormat="1" applyBorder="1" applyAlignment="1">
      <alignment horizontal="center" vertical="center"/>
    </xf>
    <xf numFmtId="1" fontId="9" fillId="0" borderId="9" xfId="0" applyNumberFormat="1" applyFont="1" applyBorder="1" applyAlignment="1">
      <alignment horizontal="center" vertical="center"/>
    </xf>
    <xf numFmtId="1" fontId="9" fillId="0" borderId="12" xfId="0" quotePrefix="1" applyNumberFormat="1" applyFont="1" applyBorder="1" applyAlignment="1">
      <alignment horizontal="center" vertical="center"/>
    </xf>
    <xf numFmtId="0" fontId="17" fillId="0" borderId="23" xfId="78" applyBorder="1" applyAlignment="1">
      <alignment vertical="center"/>
    </xf>
    <xf numFmtId="0" fontId="17" fillId="0" borderId="17" xfId="78" applyBorder="1" applyAlignment="1">
      <alignment vertical="center"/>
    </xf>
    <xf numFmtId="0" fontId="17" fillId="0" borderId="22" xfId="78" applyBorder="1" applyAlignment="1">
      <alignment vertical="center"/>
    </xf>
    <xf numFmtId="0" fontId="5" fillId="0" borderId="85" xfId="78" quotePrefix="1" applyFont="1" applyBorder="1" applyAlignment="1">
      <alignment horizontal="center" vertical="center"/>
    </xf>
    <xf numFmtId="1" fontId="0" fillId="0" borderId="3" xfId="0" applyNumberFormat="1" applyBorder="1" applyAlignment="1">
      <alignment horizontal="center" vertical="center"/>
    </xf>
    <xf numFmtId="0" fontId="20" fillId="0" borderId="83" xfId="78" applyFont="1" applyBorder="1" applyAlignment="1">
      <alignment horizontal="center" vertical="center"/>
    </xf>
    <xf numFmtId="1" fontId="5" fillId="0" borderId="21" xfId="78" applyNumberFormat="1" applyFont="1" applyBorder="1" applyAlignment="1">
      <alignment horizontal="center" vertical="center"/>
    </xf>
    <xf numFmtId="165" fontId="5" fillId="0" borderId="20" xfId="78" applyNumberFormat="1" applyFont="1" applyBorder="1" applyAlignment="1">
      <alignment horizontal="center" vertical="center"/>
    </xf>
    <xf numFmtId="2" fontId="5" fillId="0" borderId="20" xfId="78" applyNumberFormat="1" applyFont="1" applyBorder="1" applyAlignment="1">
      <alignment horizontal="center" vertical="center"/>
    </xf>
    <xf numFmtId="0" fontId="0" fillId="0" borderId="20" xfId="0" applyBorder="1" applyAlignment="1">
      <alignment horizontal="center" vertical="center"/>
    </xf>
    <xf numFmtId="165" fontId="5" fillId="0" borderId="20" xfId="78" quotePrefix="1" applyNumberFormat="1" applyFont="1" applyBorder="1" applyAlignment="1">
      <alignment horizontal="center" vertical="center"/>
    </xf>
    <xf numFmtId="1" fontId="5" fillId="0" borderId="20" xfId="78" applyNumberFormat="1" applyFont="1" applyBorder="1" applyAlignment="1">
      <alignment horizontal="center" vertical="center"/>
    </xf>
    <xf numFmtId="0" fontId="5" fillId="0" borderId="1" xfId="78" applyFont="1" applyBorder="1" applyAlignment="1">
      <alignment horizontal="left" vertical="center"/>
    </xf>
    <xf numFmtId="0" fontId="5" fillId="0" borderId="59" xfId="78" applyFont="1" applyBorder="1" applyAlignment="1">
      <alignment horizontal="center" vertical="center"/>
    </xf>
    <xf numFmtId="166" fontId="5" fillId="21" borderId="86" xfId="78" applyNumberFormat="1" applyFont="1" applyFill="1" applyBorder="1" applyAlignment="1">
      <alignment horizontal="center" vertical="center"/>
    </xf>
    <xf numFmtId="165" fontId="5" fillId="0" borderId="96" xfId="78" applyNumberFormat="1" applyFont="1" applyBorder="1" applyAlignment="1">
      <alignment horizontal="center" vertical="center"/>
    </xf>
    <xf numFmtId="1" fontId="5" fillId="0" borderId="18" xfId="78" applyNumberFormat="1" applyFont="1" applyBorder="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5" fillId="0" borderId="21" xfId="78" applyFont="1" applyBorder="1" applyAlignment="1">
      <alignment vertical="center"/>
    </xf>
    <xf numFmtId="0" fontId="0" fillId="0" borderId="89" xfId="0" applyBorder="1" applyAlignment="1">
      <alignment vertical="center"/>
    </xf>
    <xf numFmtId="0" fontId="0" fillId="0" borderId="25" xfId="0" applyBorder="1" applyAlignment="1">
      <alignment vertical="center"/>
    </xf>
    <xf numFmtId="0" fontId="5" fillId="0" borderId="84" xfId="78" quotePrefix="1" applyFont="1" applyBorder="1" applyAlignment="1">
      <alignment horizontal="center" vertical="center"/>
    </xf>
    <xf numFmtId="0" fontId="7" fillId="0" borderId="23" xfId="78" applyFont="1" applyBorder="1" applyAlignment="1">
      <alignment horizontal="center" vertical="center"/>
    </xf>
    <xf numFmtId="1" fontId="5" fillId="0" borderId="26" xfId="78" applyNumberFormat="1" applyFont="1" applyBorder="1" applyAlignment="1">
      <alignment horizontal="center" vertical="center"/>
    </xf>
    <xf numFmtId="165" fontId="5" fillId="0" borderId="0" xfId="78" applyNumberFormat="1" applyFont="1" applyAlignment="1">
      <alignment horizontal="center" vertical="center"/>
    </xf>
    <xf numFmtId="2" fontId="5" fillId="0" borderId="0" xfId="78" applyNumberFormat="1" applyFont="1" applyAlignment="1">
      <alignment horizontal="center" vertical="center"/>
    </xf>
    <xf numFmtId="165" fontId="5" fillId="0" borderId="0" xfId="78" quotePrefix="1" applyNumberFormat="1" applyFont="1" applyAlignment="1">
      <alignment horizontal="center" vertical="center"/>
    </xf>
    <xf numFmtId="1" fontId="5" fillId="0" borderId="0" xfId="78" applyNumberFormat="1" applyFont="1" applyAlignment="1">
      <alignment horizontal="center" vertical="center"/>
    </xf>
    <xf numFmtId="0" fontId="0" fillId="0" borderId="20" xfId="0" applyBorder="1" applyAlignment="1">
      <alignment horizontal="left" vertical="center"/>
    </xf>
    <xf numFmtId="0" fontId="17" fillId="0" borderId="21" xfId="78" applyBorder="1" applyAlignment="1">
      <alignment vertical="center"/>
    </xf>
    <xf numFmtId="0" fontId="5" fillId="0" borderId="21" xfId="78" applyFont="1" applyBorder="1" applyAlignment="1">
      <alignment horizontal="left" vertical="center"/>
    </xf>
    <xf numFmtId="1" fontId="5" fillId="0" borderId="23" xfId="78" applyNumberFormat="1" applyFont="1" applyBorder="1" applyAlignment="1">
      <alignment horizontal="center" vertical="center"/>
    </xf>
    <xf numFmtId="166" fontId="20" fillId="0" borderId="61" xfId="78" applyNumberFormat="1" applyFont="1" applyBorder="1" applyAlignment="1">
      <alignment horizontal="center" vertical="center"/>
    </xf>
    <xf numFmtId="166" fontId="20" fillId="0" borderId="86" xfId="78" applyNumberFormat="1" applyFont="1" applyBorder="1" applyAlignment="1">
      <alignment horizontal="center" vertical="center"/>
    </xf>
    <xf numFmtId="0" fontId="5" fillId="0" borderId="20" xfId="78" quotePrefix="1" applyFont="1" applyBorder="1" applyAlignment="1">
      <alignment vertical="center"/>
    </xf>
    <xf numFmtId="0" fontId="5" fillId="0" borderId="104" xfId="78" applyFont="1" applyBorder="1" applyAlignment="1">
      <alignment horizontal="left" vertical="center"/>
    </xf>
    <xf numFmtId="0" fontId="5" fillId="0" borderId="105" xfId="78" applyFont="1" applyBorder="1" applyAlignment="1">
      <alignment horizontal="left" vertical="center"/>
    </xf>
    <xf numFmtId="0" fontId="0" fillId="0" borderId="78" xfId="0" applyBorder="1" applyAlignment="1">
      <alignment horizontal="left" vertical="center"/>
    </xf>
    <xf numFmtId="0" fontId="5" fillId="0" borderId="81" xfId="78" applyFont="1" applyBorder="1" applyAlignment="1">
      <alignment horizontal="left" vertical="center"/>
    </xf>
    <xf numFmtId="0" fontId="5" fillId="0" borderId="0" xfId="78" applyFont="1" applyAlignment="1">
      <alignment horizontal="center" vertical="center"/>
    </xf>
    <xf numFmtId="0" fontId="5" fillId="0" borderId="103" xfId="78" applyFont="1" applyBorder="1" applyAlignment="1">
      <alignment horizontal="left" vertical="center"/>
    </xf>
    <xf numFmtId="0" fontId="5" fillId="0" borderId="108" xfId="78" applyFont="1" applyBorder="1" applyAlignment="1">
      <alignment horizontal="left" vertical="center"/>
    </xf>
    <xf numFmtId="0" fontId="5" fillId="0" borderId="109" xfId="78" applyFont="1" applyBorder="1" applyAlignment="1">
      <alignment horizontal="center" vertical="center"/>
    </xf>
    <xf numFmtId="0" fontId="5" fillId="0" borderId="108" xfId="78" applyFont="1" applyBorder="1" applyAlignment="1">
      <alignment horizontal="center" vertical="center" wrapText="1"/>
    </xf>
    <xf numFmtId="0" fontId="5" fillId="0" borderId="94" xfId="78" applyFont="1" applyBorder="1" applyAlignment="1">
      <alignment horizontal="center" vertical="center"/>
    </xf>
    <xf numFmtId="0" fontId="5" fillId="0" borderId="76" xfId="78" applyFont="1" applyBorder="1" applyAlignment="1">
      <alignment horizontal="center" vertical="center"/>
    </xf>
    <xf numFmtId="0" fontId="17" fillId="0" borderId="94" xfId="78" applyBorder="1" applyAlignment="1">
      <alignment vertical="center"/>
    </xf>
    <xf numFmtId="0" fontId="17" fillId="0" borderId="110" xfId="78" applyBorder="1" applyAlignment="1">
      <alignment vertical="center"/>
    </xf>
    <xf numFmtId="0" fontId="20" fillId="0" borderId="94" xfId="78" applyFont="1" applyBorder="1" applyAlignment="1">
      <alignment horizontal="center" vertical="center"/>
    </xf>
    <xf numFmtId="0" fontId="5" fillId="0" borderId="25" xfId="78" applyFont="1" applyBorder="1" applyAlignment="1">
      <alignment horizontal="left" vertical="center"/>
    </xf>
    <xf numFmtId="0" fontId="5" fillId="21" borderId="76" xfId="78" applyFont="1" applyFill="1" applyBorder="1" applyAlignment="1">
      <alignment horizontal="center" vertical="center"/>
    </xf>
    <xf numFmtId="166" fontId="20" fillId="0" borderId="60" xfId="78" applyNumberFormat="1" applyFont="1" applyBorder="1" applyAlignment="1">
      <alignment horizontal="center" vertical="center"/>
    </xf>
    <xf numFmtId="166" fontId="5" fillId="0" borderId="112" xfId="78" applyNumberFormat="1" applyFont="1" applyBorder="1" applyAlignment="1">
      <alignment horizontal="center" vertical="center"/>
    </xf>
    <xf numFmtId="166" fontId="5" fillId="21" borderId="97" xfId="78" applyNumberFormat="1" applyFont="1" applyFill="1" applyBorder="1" applyAlignment="1">
      <alignment horizontal="center" vertical="center"/>
    </xf>
    <xf numFmtId="0" fontId="5" fillId="21" borderId="109" xfId="78" applyFont="1" applyFill="1" applyBorder="1" applyAlignment="1">
      <alignment horizontal="center" vertical="center"/>
    </xf>
    <xf numFmtId="0" fontId="5" fillId="0" borderId="75" xfId="78" applyFont="1" applyBorder="1" applyAlignment="1">
      <alignment horizontal="center" vertical="center"/>
    </xf>
    <xf numFmtId="1" fontId="5" fillId="0" borderId="107" xfId="78" applyNumberFormat="1" applyFont="1" applyBorder="1" applyAlignment="1">
      <alignment horizontal="center" vertical="center"/>
    </xf>
    <xf numFmtId="0" fontId="5" fillId="0" borderId="65" xfId="78" applyFont="1" applyBorder="1" applyAlignment="1">
      <alignment horizontal="center" vertical="center"/>
    </xf>
    <xf numFmtId="0" fontId="17" fillId="0" borderId="65" xfId="78" applyBorder="1" applyAlignment="1">
      <alignment vertical="center"/>
    </xf>
    <xf numFmtId="166" fontId="5" fillId="0" borderId="71" xfId="78" applyNumberFormat="1" applyFont="1" applyBorder="1" applyAlignment="1">
      <alignment horizontal="center" vertical="center"/>
    </xf>
    <xf numFmtId="0" fontId="5" fillId="0" borderId="104" xfId="78" applyFont="1" applyBorder="1" applyAlignment="1">
      <alignment horizontal="center" vertical="center"/>
    </xf>
    <xf numFmtId="166" fontId="20" fillId="0" borderId="112" xfId="78" applyNumberFormat="1" applyFont="1" applyBorder="1" applyAlignment="1">
      <alignment horizontal="center" vertical="center"/>
    </xf>
    <xf numFmtId="0" fontId="20" fillId="0" borderId="76" xfId="78" applyFont="1" applyBorder="1" applyAlignment="1">
      <alignment horizontal="center" vertical="center"/>
    </xf>
    <xf numFmtId="1" fontId="5" fillId="0" borderId="82" xfId="78" applyNumberFormat="1" applyFont="1" applyBorder="1" applyAlignment="1">
      <alignment horizontal="center" vertical="center"/>
    </xf>
    <xf numFmtId="1" fontId="5" fillId="0" borderId="85" xfId="78" applyNumberFormat="1" applyFont="1" applyBorder="1" applyAlignment="1">
      <alignment horizontal="center" vertical="center"/>
    </xf>
    <xf numFmtId="1" fontId="5" fillId="0" borderId="114" xfId="78" applyNumberFormat="1" applyFont="1" applyBorder="1" applyAlignment="1">
      <alignment horizontal="center" vertical="center"/>
    </xf>
    <xf numFmtId="0" fontId="5" fillId="0" borderId="1" xfId="78" quotePrefix="1" applyFont="1" applyBorder="1" applyAlignment="1">
      <alignment horizontal="center" vertical="center"/>
    </xf>
    <xf numFmtId="0" fontId="5" fillId="0" borderId="105" xfId="78" applyFont="1" applyBorder="1" applyAlignment="1">
      <alignment horizontal="center" vertical="center"/>
    </xf>
    <xf numFmtId="0" fontId="5" fillId="0" borderId="38" xfId="78" applyFont="1" applyBorder="1" applyAlignment="1">
      <alignment horizontal="center" vertical="center"/>
    </xf>
    <xf numFmtId="0" fontId="0" fillId="0" borderId="65" xfId="0" applyBorder="1" applyAlignment="1">
      <alignment horizontal="center" vertical="center"/>
    </xf>
    <xf numFmtId="0" fontId="0" fillId="0" borderId="39" xfId="0" applyBorder="1" applyAlignment="1">
      <alignment horizontal="center" vertical="center"/>
    </xf>
    <xf numFmtId="0" fontId="17" fillId="0" borderId="116" xfId="78" applyBorder="1" applyAlignment="1">
      <alignment vertical="center"/>
    </xf>
    <xf numFmtId="0" fontId="17" fillId="0" borderId="42" xfId="78" applyBorder="1" applyAlignment="1">
      <alignment vertical="center"/>
    </xf>
    <xf numFmtId="0" fontId="0" fillId="0" borderId="65" xfId="0" applyBorder="1" applyAlignment="1">
      <alignment vertical="center"/>
    </xf>
    <xf numFmtId="0" fontId="5" fillId="0" borderId="94" xfId="78" quotePrefix="1" applyFont="1" applyBorder="1" applyAlignment="1">
      <alignment horizontal="center" vertical="center"/>
    </xf>
    <xf numFmtId="0" fontId="5" fillId="0" borderId="76" xfId="78" quotePrefix="1" applyFont="1" applyBorder="1" applyAlignment="1">
      <alignment horizontal="center" vertical="center"/>
    </xf>
    <xf numFmtId="0" fontId="17" fillId="0" borderId="95" xfId="78" applyBorder="1" applyAlignment="1">
      <alignment vertical="center"/>
    </xf>
    <xf numFmtId="0" fontId="5" fillId="0" borderId="42" xfId="78" applyFont="1" applyBorder="1" applyAlignment="1">
      <alignment horizontal="center" vertical="center"/>
    </xf>
    <xf numFmtId="0" fontId="17" fillId="0" borderId="115" xfId="78" applyBorder="1" applyAlignment="1">
      <alignment vertical="center"/>
    </xf>
    <xf numFmtId="0" fontId="5" fillId="0" borderId="65" xfId="0" applyFont="1" applyBorder="1" applyAlignment="1">
      <alignment vertical="center"/>
    </xf>
    <xf numFmtId="166" fontId="5" fillId="0" borderId="73" xfId="78" applyNumberFormat="1" applyFont="1" applyBorder="1" applyAlignment="1">
      <alignment horizontal="center" vertical="center"/>
    </xf>
    <xf numFmtId="0" fontId="17" fillId="0" borderId="41" xfId="78" applyBorder="1" applyAlignment="1">
      <alignment vertical="center"/>
    </xf>
    <xf numFmtId="0" fontId="0" fillId="0" borderId="106" xfId="0" applyBorder="1" applyAlignment="1">
      <alignment horizontal="center" vertical="center"/>
    </xf>
    <xf numFmtId="0" fontId="9" fillId="0" borderId="2" xfId="0" applyFont="1" applyBorder="1" applyAlignment="1">
      <alignment horizontal="right"/>
    </xf>
    <xf numFmtId="0" fontId="9" fillId="0" borderId="0" xfId="0" applyFont="1" applyAlignment="1">
      <alignment horizontal="right"/>
    </xf>
    <xf numFmtId="0" fontId="0" fillId="0" borderId="36" xfId="0" applyBorder="1" applyAlignment="1">
      <alignment horizontal="center" vertical="center"/>
    </xf>
    <xf numFmtId="0" fontId="5" fillId="0" borderId="71" xfId="78" applyFont="1" applyBorder="1" applyAlignment="1">
      <alignment horizontal="left" vertical="center"/>
    </xf>
    <xf numFmtId="0" fontId="17" fillId="0" borderId="89" xfId="78" applyBorder="1" applyAlignment="1">
      <alignment vertical="center"/>
    </xf>
    <xf numFmtId="0" fontId="17" fillId="0" borderId="25" xfId="78" applyBorder="1" applyAlignment="1">
      <alignment vertical="center"/>
    </xf>
    <xf numFmtId="0" fontId="20" fillId="0" borderId="45" xfId="78" applyFont="1" applyBorder="1" applyAlignment="1">
      <alignment horizontal="center" vertical="center"/>
    </xf>
    <xf numFmtId="0" fontId="5" fillId="0" borderId="65" xfId="78" applyFont="1" applyBorder="1" applyAlignment="1">
      <alignment horizontal="left" vertical="center"/>
    </xf>
    <xf numFmtId="0" fontId="5" fillId="0" borderId="103" xfId="78" applyFont="1" applyBorder="1" applyAlignment="1">
      <alignment horizontal="center" vertical="center"/>
    </xf>
    <xf numFmtId="0" fontId="5" fillId="0" borderId="106" xfId="0" applyFont="1" applyBorder="1" applyAlignment="1">
      <alignment horizontal="left" vertical="center"/>
    </xf>
    <xf numFmtId="0" fontId="20" fillId="0" borderId="42" xfId="78" applyFont="1" applyBorder="1" applyAlignment="1">
      <alignment horizontal="center" vertical="center"/>
    </xf>
    <xf numFmtId="165" fontId="5" fillId="0" borderId="43" xfId="78" applyNumberFormat="1" applyFont="1" applyBorder="1" applyAlignment="1">
      <alignment horizontal="center" vertical="center"/>
    </xf>
    <xf numFmtId="165" fontId="5" fillId="0" borderId="42" xfId="78" applyNumberFormat="1" applyFont="1" applyBorder="1" applyAlignment="1">
      <alignment horizontal="center" vertical="center"/>
    </xf>
    <xf numFmtId="165" fontId="5" fillId="0" borderId="45" xfId="78" applyNumberFormat="1" applyFont="1" applyBorder="1" applyAlignment="1">
      <alignment horizontal="center" vertical="center"/>
    </xf>
    <xf numFmtId="165" fontId="5" fillId="0" borderId="41" xfId="78" applyNumberFormat="1" applyFont="1" applyBorder="1" applyAlignment="1">
      <alignment horizontal="center" vertical="center"/>
    </xf>
    <xf numFmtId="0" fontId="5" fillId="0" borderId="117" xfId="78" applyFont="1" applyBorder="1" applyAlignment="1">
      <alignment horizontal="center" vertical="center"/>
    </xf>
    <xf numFmtId="0" fontId="5" fillId="0" borderId="45" xfId="78" applyFont="1" applyBorder="1" applyAlignment="1">
      <alignment horizontal="center" vertical="center"/>
    </xf>
    <xf numFmtId="0" fontId="20" fillId="0" borderId="108" xfId="78" applyFont="1" applyBorder="1" applyAlignment="1">
      <alignment horizontal="center" vertical="center"/>
    </xf>
    <xf numFmtId="0" fontId="5" fillId="0" borderId="65" xfId="0" applyFont="1" applyBorder="1" applyAlignment="1">
      <alignment horizontal="center" vertical="center"/>
    </xf>
    <xf numFmtId="165" fontId="5" fillId="0" borderId="94" xfId="78" applyNumberFormat="1" applyFont="1" applyBorder="1" applyAlignment="1">
      <alignment horizontal="center" vertical="center"/>
    </xf>
    <xf numFmtId="0" fontId="0" fillId="0" borderId="66" xfId="0" applyBorder="1" applyAlignment="1">
      <alignment horizontal="center" vertical="center"/>
    </xf>
    <xf numFmtId="0" fontId="5" fillId="0" borderId="100" xfId="78" applyFont="1" applyBorder="1" applyAlignment="1">
      <alignment horizontal="center" vertical="center"/>
    </xf>
    <xf numFmtId="0" fontId="5" fillId="0" borderId="47" xfId="78" applyFont="1" applyBorder="1" applyAlignment="1">
      <alignment horizontal="center" vertical="center"/>
    </xf>
    <xf numFmtId="0" fontId="5" fillId="0" borderId="118" xfId="78" applyFont="1" applyBorder="1" applyAlignment="1">
      <alignment horizontal="center" vertical="center"/>
    </xf>
    <xf numFmtId="0" fontId="20" fillId="0" borderId="47" xfId="78" applyFont="1" applyBorder="1" applyAlignment="1">
      <alignment horizontal="center" vertical="center"/>
    </xf>
    <xf numFmtId="165" fontId="5" fillId="0" borderId="83" xfId="78" applyNumberFormat="1" applyFont="1" applyBorder="1" applyAlignment="1">
      <alignment horizontal="center" vertical="center"/>
    </xf>
    <xf numFmtId="1" fontId="5" fillId="0" borderId="55" xfId="78" applyNumberFormat="1" applyFont="1" applyBorder="1" applyAlignment="1">
      <alignment horizontal="center" vertical="center"/>
    </xf>
    <xf numFmtId="165" fontId="5" fillId="0" borderId="50" xfId="78" applyNumberFormat="1" applyFont="1" applyBorder="1" applyAlignment="1">
      <alignment horizontal="center" vertical="center"/>
    </xf>
    <xf numFmtId="165" fontId="5" fillId="0" borderId="39" xfId="78" quotePrefix="1" applyNumberFormat="1" applyFont="1" applyBorder="1" applyAlignment="1">
      <alignment horizontal="center" vertical="center"/>
    </xf>
    <xf numFmtId="0" fontId="5" fillId="0" borderId="106" xfId="78" applyFont="1" applyBorder="1" applyAlignment="1">
      <alignment horizontal="left" vertical="center"/>
    </xf>
    <xf numFmtId="0" fontId="5" fillId="0" borderId="106" xfId="0" applyFont="1" applyBorder="1" applyAlignment="1">
      <alignment horizontal="center" vertical="center"/>
    </xf>
    <xf numFmtId="166" fontId="20" fillId="0" borderId="71" xfId="78" applyNumberFormat="1" applyFont="1" applyBorder="1" applyAlignment="1">
      <alignment horizontal="center" vertical="center"/>
    </xf>
    <xf numFmtId="0" fontId="20" fillId="0" borderId="66" xfId="78" applyFont="1" applyBorder="1" applyAlignment="1">
      <alignment horizontal="center" vertical="center"/>
    </xf>
    <xf numFmtId="0" fontId="9" fillId="0" borderId="1" xfId="78" applyFont="1" applyBorder="1" applyAlignment="1">
      <alignment horizontal="left" vertical="center"/>
    </xf>
    <xf numFmtId="0" fontId="9" fillId="0" borderId="12" xfId="78" applyFont="1" applyBorder="1" applyAlignment="1">
      <alignment vertical="center"/>
    </xf>
    <xf numFmtId="0" fontId="0" fillId="0" borderId="67" xfId="0" applyBorder="1" applyAlignment="1">
      <alignment horizontal="center" vertical="center"/>
    </xf>
    <xf numFmtId="0" fontId="8" fillId="0" borderId="20" xfId="0" applyFont="1" applyBorder="1" applyAlignment="1">
      <alignment horizontal="right" vertical="center" textRotation="90"/>
    </xf>
    <xf numFmtId="0" fontId="0" fillId="0" borderId="20" xfId="0" applyBorder="1" applyAlignment="1">
      <alignment horizontal="right" vertical="center" textRotation="90"/>
    </xf>
    <xf numFmtId="1" fontId="9" fillId="0" borderId="9" xfId="0" quotePrefix="1" applyNumberFormat="1" applyFont="1" applyBorder="1" applyAlignment="1">
      <alignment horizontal="center" vertical="center"/>
    </xf>
    <xf numFmtId="0" fontId="23" fillId="0" borderId="0" xfId="78" applyFont="1" applyAlignment="1">
      <alignment vertical="center"/>
    </xf>
    <xf numFmtId="0" fontId="23" fillId="0" borderId="19" xfId="78" applyFont="1" applyBorder="1" applyAlignment="1">
      <alignment vertical="center"/>
    </xf>
    <xf numFmtId="1" fontId="5" fillId="0" borderId="119" xfId="78" applyNumberFormat="1" applyFont="1" applyBorder="1" applyAlignment="1">
      <alignment horizontal="center" vertical="center"/>
    </xf>
    <xf numFmtId="1" fontId="5" fillId="0" borderId="34" xfId="78" applyNumberFormat="1" applyFont="1" applyBorder="1" applyAlignment="1">
      <alignment horizontal="center" vertical="center"/>
    </xf>
    <xf numFmtId="1" fontId="5" fillId="0" borderId="73" xfId="78" applyNumberFormat="1" applyFont="1" applyBorder="1" applyAlignment="1">
      <alignment horizontal="center" vertical="center"/>
    </xf>
    <xf numFmtId="0" fontId="5" fillId="0" borderId="65" xfId="0" applyFont="1" applyBorder="1" applyAlignment="1">
      <alignment horizontal="left" vertical="center"/>
    </xf>
    <xf numFmtId="1" fontId="9" fillId="0" borderId="43" xfId="0" applyNumberFormat="1" applyFont="1" applyBorder="1" applyAlignment="1">
      <alignment horizontal="center" vertical="center"/>
    </xf>
    <xf numFmtId="1" fontId="0" fillId="0" borderId="43" xfId="0" applyNumberFormat="1" applyBorder="1" applyAlignment="1">
      <alignment horizontal="center" vertical="center"/>
    </xf>
    <xf numFmtId="1" fontId="9" fillId="0" borderId="121" xfId="0" applyNumberFormat="1" applyFont="1" applyBorder="1" applyAlignment="1">
      <alignment horizontal="center" vertical="center"/>
    </xf>
    <xf numFmtId="1" fontId="9" fillId="0" borderId="118" xfId="0" applyNumberFormat="1" applyFont="1" applyBorder="1" applyAlignment="1">
      <alignment horizontal="center" vertical="center"/>
    </xf>
    <xf numFmtId="1" fontId="9" fillId="0" borderId="122" xfId="0" applyNumberFormat="1" applyFont="1" applyBorder="1" applyAlignment="1">
      <alignment horizontal="center" vertical="center"/>
    </xf>
    <xf numFmtId="1" fontId="9" fillId="0" borderId="44" xfId="0" applyNumberFormat="1" applyFont="1" applyBorder="1" applyAlignment="1">
      <alignment horizontal="center" vertical="center"/>
    </xf>
    <xf numFmtId="1" fontId="9" fillId="0" borderId="44" xfId="0" quotePrefix="1" applyNumberFormat="1" applyFont="1" applyBorder="1" applyAlignment="1">
      <alignment horizontal="center" vertical="center"/>
    </xf>
    <xf numFmtId="1" fontId="9" fillId="0" borderId="123" xfId="0" quotePrefix="1" applyNumberFormat="1" applyFont="1" applyBorder="1" applyAlignment="1">
      <alignment horizontal="center" vertical="center"/>
    </xf>
    <xf numFmtId="1" fontId="9" fillId="0" borderId="123" xfId="0" applyNumberFormat="1" applyFont="1" applyBorder="1" applyAlignment="1">
      <alignment horizontal="center" vertical="center"/>
    </xf>
    <xf numFmtId="1" fontId="9" fillId="0" borderId="8" xfId="0" applyNumberFormat="1" applyFont="1" applyBorder="1" applyAlignment="1">
      <alignment horizontal="center" vertical="center"/>
    </xf>
    <xf numFmtId="1" fontId="9" fillId="0" borderId="124" xfId="0" applyNumberFormat="1" applyFont="1" applyBorder="1" applyAlignment="1">
      <alignment horizontal="center" vertical="center"/>
    </xf>
    <xf numFmtId="1" fontId="9" fillId="0" borderId="42" xfId="0" applyNumberFormat="1" applyFont="1" applyBorder="1" applyAlignment="1">
      <alignment horizontal="center" vertical="center"/>
    </xf>
    <xf numFmtId="1" fontId="9" fillId="0" borderId="42" xfId="0" quotePrefix="1" applyNumberFormat="1" applyFont="1" applyBorder="1" applyAlignment="1">
      <alignment horizontal="center" vertical="center"/>
    </xf>
    <xf numFmtId="1" fontId="9" fillId="0" borderId="94" xfId="0" applyNumberFormat="1" applyFont="1" applyBorder="1" applyAlignment="1">
      <alignment horizontal="center" vertical="center"/>
    </xf>
    <xf numFmtId="1" fontId="9" fillId="0" borderId="104" xfId="0" applyNumberFormat="1" applyFont="1" applyBorder="1" applyAlignment="1">
      <alignment horizontal="center" vertical="center"/>
    </xf>
    <xf numFmtId="1" fontId="9" fillId="0" borderId="66" xfId="0" applyNumberFormat="1" applyFont="1" applyBorder="1" applyAlignment="1">
      <alignment horizontal="center" vertical="center"/>
    </xf>
    <xf numFmtId="0" fontId="17" fillId="0" borderId="12" xfId="78" applyBorder="1" applyAlignment="1">
      <alignment vertical="center"/>
    </xf>
    <xf numFmtId="1" fontId="9" fillId="0" borderId="0" xfId="0" applyNumberFormat="1" applyFont="1" applyAlignment="1">
      <alignment horizontal="center" vertical="center"/>
    </xf>
    <xf numFmtId="0" fontId="0" fillId="0" borderId="20" xfId="0" applyBorder="1" applyAlignment="1">
      <alignment vertical="center"/>
    </xf>
    <xf numFmtId="0" fontId="9" fillId="0" borderId="0" xfId="0" applyFont="1" applyAlignment="1">
      <alignment horizontal="left" vertical="center"/>
    </xf>
    <xf numFmtId="0" fontId="17" fillId="0" borderId="120" xfId="78" applyBorder="1" applyAlignment="1">
      <alignment vertical="center"/>
    </xf>
    <xf numFmtId="165" fontId="5" fillId="0" borderId="122" xfId="78" applyNumberFormat="1" applyFont="1" applyBorder="1" applyAlignment="1">
      <alignment horizontal="center" vertical="center"/>
    </xf>
    <xf numFmtId="165" fontId="5" fillId="0" borderId="113" xfId="78" applyNumberFormat="1" applyFont="1" applyBorder="1" applyAlignment="1">
      <alignment horizontal="center" vertical="center"/>
    </xf>
    <xf numFmtId="165" fontId="5" fillId="0" borderId="109" xfId="78" applyNumberFormat="1" applyFont="1" applyBorder="1" applyAlignment="1">
      <alignment horizontal="center" vertical="center"/>
    </xf>
    <xf numFmtId="165" fontId="5" fillId="0" borderId="125" xfId="78" applyNumberFormat="1" applyFont="1" applyBorder="1" applyAlignment="1">
      <alignment horizontal="center" vertical="center"/>
    </xf>
    <xf numFmtId="165" fontId="5" fillId="0" borderId="62" xfId="78" applyNumberFormat="1" applyFont="1" applyBorder="1" applyAlignment="1">
      <alignment horizontal="center" vertical="center"/>
    </xf>
    <xf numFmtId="1" fontId="5" fillId="21" borderId="53" xfId="78" applyNumberFormat="1" applyFont="1" applyFill="1" applyBorder="1" applyAlignment="1">
      <alignment horizontal="center" vertical="center"/>
    </xf>
    <xf numFmtId="1" fontId="5" fillId="23" borderId="53" xfId="78" applyNumberFormat="1" applyFont="1" applyFill="1" applyBorder="1" applyAlignment="1">
      <alignment horizontal="center" vertical="center"/>
    </xf>
    <xf numFmtId="1" fontId="5" fillId="23" borderId="55" xfId="78" applyNumberFormat="1" applyFont="1" applyFill="1" applyBorder="1" applyAlignment="1">
      <alignment horizontal="center" vertical="center"/>
    </xf>
    <xf numFmtId="166" fontId="5" fillId="23" borderId="86" xfId="78" applyNumberFormat="1" applyFont="1" applyFill="1" applyBorder="1" applyAlignment="1">
      <alignment horizontal="center" vertical="center"/>
    </xf>
    <xf numFmtId="0" fontId="5" fillId="23" borderId="76" xfId="78" applyFont="1" applyFill="1" applyBorder="1" applyAlignment="1">
      <alignment horizontal="center" vertical="center"/>
    </xf>
    <xf numFmtId="1" fontId="9" fillId="23" borderId="12" xfId="0" applyNumberFormat="1" applyFont="1" applyFill="1" applyBorder="1" applyAlignment="1">
      <alignment horizontal="center" vertical="center"/>
    </xf>
    <xf numFmtId="1" fontId="9" fillId="23" borderId="9" xfId="0" applyNumberFormat="1" applyFont="1" applyFill="1" applyBorder="1" applyAlignment="1">
      <alignment horizontal="center" vertical="center"/>
    </xf>
    <xf numFmtId="0" fontId="9" fillId="23" borderId="12" xfId="0" applyFont="1" applyFill="1" applyBorder="1" applyAlignment="1">
      <alignment horizontal="center" vertical="center"/>
    </xf>
    <xf numFmtId="0" fontId="9" fillId="23" borderId="12" xfId="78" applyFont="1" applyFill="1" applyBorder="1" applyAlignment="1">
      <alignment horizontal="center" vertical="center"/>
    </xf>
    <xf numFmtId="1" fontId="9" fillId="23" borderId="12" xfId="0" quotePrefix="1" applyNumberFormat="1" applyFont="1" applyFill="1" applyBorder="1" applyAlignment="1">
      <alignment horizontal="center" vertical="center"/>
    </xf>
    <xf numFmtId="1" fontId="9" fillId="21" borderId="12" xfId="0" applyNumberFormat="1" applyFont="1" applyFill="1" applyBorder="1" applyAlignment="1">
      <alignment horizontal="center" vertical="center"/>
    </xf>
    <xf numFmtId="1" fontId="9" fillId="21" borderId="9" xfId="0" applyNumberFormat="1" applyFont="1" applyFill="1" applyBorder="1" applyAlignment="1">
      <alignment horizontal="center" vertical="center"/>
    </xf>
    <xf numFmtId="0" fontId="7" fillId="0" borderId="0" xfId="78" applyFont="1" applyAlignment="1">
      <alignment horizontal="center" vertical="center"/>
    </xf>
    <xf numFmtId="0" fontId="0" fillId="0" borderId="0" xfId="0" applyAlignment="1">
      <alignment vertical="center"/>
    </xf>
    <xf numFmtId="0" fontId="9" fillId="0" borderId="0" xfId="78" applyFont="1" applyAlignment="1">
      <alignment horizontal="center" vertical="center"/>
    </xf>
    <xf numFmtId="0" fontId="9" fillId="0" borderId="0" xfId="78" applyFont="1" applyAlignment="1">
      <alignment horizontal="left" vertical="center"/>
    </xf>
    <xf numFmtId="0" fontId="0" fillId="0" borderId="65" xfId="0" applyBorder="1" applyAlignment="1">
      <alignment horizontal="left" vertical="center"/>
    </xf>
    <xf numFmtId="0" fontId="0" fillId="0" borderId="64" xfId="0" applyBorder="1" applyAlignment="1">
      <alignment horizontal="left" vertical="center"/>
    </xf>
    <xf numFmtId="1" fontId="5" fillId="0" borderId="37" xfId="78" applyNumberFormat="1" applyFont="1" applyBorder="1" applyAlignment="1">
      <alignment horizontal="center" vertical="center"/>
    </xf>
    <xf numFmtId="1" fontId="5" fillId="0" borderId="36" xfId="78" applyNumberFormat="1" applyFont="1" applyBorder="1" applyAlignment="1">
      <alignment horizontal="center" vertical="center"/>
    </xf>
    <xf numFmtId="1" fontId="5" fillId="0" borderId="35" xfId="78" applyNumberFormat="1" applyFont="1" applyBorder="1" applyAlignment="1">
      <alignment horizontal="center" vertical="center"/>
    </xf>
    <xf numFmtId="0" fontId="5" fillId="0" borderId="36" xfId="0" applyFont="1" applyBorder="1" applyAlignment="1">
      <alignment horizontal="center" vertical="center"/>
    </xf>
    <xf numFmtId="0" fontId="5" fillId="0" borderId="3" xfId="78" applyFont="1" applyBorder="1" applyAlignment="1">
      <alignment horizontal="left" vertical="center"/>
    </xf>
    <xf numFmtId="0" fontId="5" fillId="0" borderId="82" xfId="78" applyFont="1" applyBorder="1" applyAlignment="1">
      <alignment horizontal="left" vertical="center"/>
    </xf>
    <xf numFmtId="0" fontId="5" fillId="0" borderId="19" xfId="78" applyFont="1" applyBorder="1" applyAlignment="1">
      <alignment vertical="center"/>
    </xf>
    <xf numFmtId="1" fontId="5" fillId="0" borderId="108" xfId="78" applyNumberFormat="1" applyFont="1" applyBorder="1" applyAlignment="1">
      <alignment horizontal="center" vertical="center"/>
    </xf>
    <xf numFmtId="1" fontId="5" fillId="0" borderId="94" xfId="78" applyNumberFormat="1" applyFont="1" applyBorder="1" applyAlignment="1">
      <alignment horizontal="center" vertical="center"/>
    </xf>
    <xf numFmtId="0" fontId="0" fillId="0" borderId="25" xfId="0" applyBorder="1" applyAlignment="1">
      <alignment horizontal="center" vertical="center"/>
    </xf>
    <xf numFmtId="0" fontId="17" fillId="0" borderId="24" xfId="78" applyBorder="1" applyAlignment="1">
      <alignment vertical="center"/>
    </xf>
    <xf numFmtId="0" fontId="7" fillId="0" borderId="6" xfId="78" applyFont="1" applyBorder="1" applyAlignment="1">
      <alignment vertical="center"/>
    </xf>
    <xf numFmtId="165" fontId="5" fillId="0" borderId="80" xfId="78" applyNumberFormat="1" applyFont="1" applyBorder="1" applyAlignment="1">
      <alignment horizontal="center" vertical="center"/>
    </xf>
    <xf numFmtId="0" fontId="9" fillId="0" borderId="1" xfId="78" applyFont="1" applyBorder="1" applyAlignment="1">
      <alignment vertical="center"/>
    </xf>
    <xf numFmtId="0" fontId="5" fillId="0" borderId="44" xfId="0" applyFont="1" applyBorder="1" applyAlignment="1">
      <alignment horizontal="center" vertical="center"/>
    </xf>
    <xf numFmtId="0" fontId="5" fillId="0" borderId="47" xfId="0" applyFont="1" applyBorder="1" applyAlignment="1">
      <alignment horizontal="center" vertical="center"/>
    </xf>
    <xf numFmtId="0" fontId="5" fillId="0" borderId="77" xfId="0" applyFont="1" applyBorder="1" applyAlignment="1">
      <alignment horizontal="center" vertical="center"/>
    </xf>
    <xf numFmtId="0" fontId="5" fillId="0" borderId="45" xfId="0" applyFont="1" applyBorder="1" applyAlignment="1">
      <alignment horizontal="center" vertical="center"/>
    </xf>
    <xf numFmtId="0" fontId="5" fillId="0" borderId="39" xfId="0" applyFont="1" applyBorder="1" applyAlignment="1">
      <alignment horizontal="center" vertical="center"/>
    </xf>
    <xf numFmtId="0" fontId="17" fillId="0" borderId="45" xfId="78" applyBorder="1" applyAlignment="1">
      <alignment vertical="center"/>
    </xf>
    <xf numFmtId="0" fontId="5" fillId="0" borderId="65" xfId="78" applyFont="1" applyBorder="1" applyAlignment="1">
      <alignment vertical="center"/>
    </xf>
    <xf numFmtId="0" fontId="0" fillId="0" borderId="26" xfId="0" applyBorder="1" applyAlignment="1">
      <alignment vertical="center"/>
    </xf>
    <xf numFmtId="0" fontId="8" fillId="0" borderId="0" xfId="0" applyFont="1" applyAlignment="1">
      <alignment horizontal="center"/>
    </xf>
    <xf numFmtId="0" fontId="0" fillId="0" borderId="0" xfId="0" applyAlignment="1">
      <alignment horizontal="center"/>
    </xf>
    <xf numFmtId="165" fontId="5" fillId="0" borderId="0" xfId="78" applyNumberFormat="1" applyFont="1" applyAlignment="1">
      <alignment horizontal="left" vertical="center"/>
    </xf>
    <xf numFmtId="0" fontId="9" fillId="0" borderId="66" xfId="78" applyFont="1" applyBorder="1" applyAlignment="1">
      <alignment vertical="center"/>
    </xf>
    <xf numFmtId="0" fontId="5" fillId="0" borderId="89" xfId="78" applyFont="1" applyBorder="1" applyAlignment="1">
      <alignment horizontal="left" vertical="center"/>
    </xf>
    <xf numFmtId="0" fontId="5" fillId="0" borderId="2" xfId="78" applyFont="1" applyBorder="1" applyAlignment="1">
      <alignment horizontal="left" vertical="center"/>
    </xf>
    <xf numFmtId="0" fontId="5" fillId="0" borderId="25" xfId="78" applyFont="1" applyBorder="1" applyAlignment="1">
      <alignment vertical="center"/>
    </xf>
    <xf numFmtId="165" fontId="5" fillId="0" borderId="26" xfId="78" applyNumberFormat="1" applyFont="1" applyBorder="1" applyAlignment="1">
      <alignment horizontal="center" vertical="center"/>
    </xf>
    <xf numFmtId="0" fontId="5" fillId="0" borderId="26" xfId="78" applyFont="1" applyBorder="1" applyAlignment="1">
      <alignment horizontal="left" vertical="center"/>
    </xf>
    <xf numFmtId="0" fontId="5" fillId="0" borderId="81" xfId="78" applyFont="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left" vertical="center"/>
    </xf>
    <xf numFmtId="0" fontId="0" fillId="0" borderId="79" xfId="0" applyBorder="1" applyAlignment="1">
      <alignment horizontal="left" vertical="center"/>
    </xf>
    <xf numFmtId="0" fontId="5" fillId="0" borderId="82" xfId="78" quotePrefix="1" applyFont="1" applyBorder="1" applyAlignment="1">
      <alignment horizontal="center" vertical="center"/>
    </xf>
    <xf numFmtId="0" fontId="0" fillId="0" borderId="5" xfId="0" applyBorder="1" applyAlignment="1">
      <alignment horizontal="center" vertical="center"/>
    </xf>
    <xf numFmtId="0" fontId="5" fillId="0" borderId="82" xfId="78" applyFont="1" applyBorder="1" applyAlignment="1">
      <alignment horizontal="center" vertical="center"/>
    </xf>
    <xf numFmtId="0" fontId="5" fillId="0" borderId="79" xfId="78" applyFont="1" applyBorder="1" applyAlignment="1">
      <alignment horizontal="left" vertical="center"/>
    </xf>
    <xf numFmtId="0" fontId="5" fillId="0" borderId="82" xfId="78" quotePrefix="1" applyFont="1" applyBorder="1" applyAlignment="1">
      <alignment horizontal="left" vertical="center"/>
    </xf>
    <xf numFmtId="0" fontId="0" fillId="0" borderId="7" xfId="0" applyBorder="1" applyAlignment="1">
      <alignment vertical="center"/>
    </xf>
    <xf numFmtId="0" fontId="0" fillId="0" borderId="78" xfId="0" applyBorder="1" applyAlignment="1">
      <alignment vertical="center"/>
    </xf>
    <xf numFmtId="0" fontId="5" fillId="0" borderId="6" xfId="78" applyFont="1" applyBorder="1" applyAlignment="1">
      <alignment horizontal="left" vertical="center"/>
    </xf>
    <xf numFmtId="0" fontId="0" fillId="0" borderId="7" xfId="0" applyBorder="1" applyAlignment="1">
      <alignment horizontal="left" vertical="center"/>
    </xf>
    <xf numFmtId="0" fontId="0" fillId="0" borderId="77" xfId="0" applyBorder="1" applyAlignment="1">
      <alignment horizontal="left" vertical="center"/>
    </xf>
    <xf numFmtId="0" fontId="5" fillId="0" borderId="80" xfId="78" applyFont="1" applyBorder="1" applyAlignment="1">
      <alignment horizontal="left" vertical="center"/>
    </xf>
    <xf numFmtId="0" fontId="5" fillId="0" borderId="7" xfId="78" applyFont="1" applyBorder="1" applyAlignment="1">
      <alignment horizontal="center" vertical="center"/>
    </xf>
    <xf numFmtId="0" fontId="5" fillId="0" borderId="7" xfId="0" applyFont="1" applyBorder="1" applyAlignment="1">
      <alignment horizontal="center" vertical="center"/>
    </xf>
    <xf numFmtId="0" fontId="0" fillId="0" borderId="3" xfId="0" applyBorder="1" applyAlignment="1">
      <alignment vertical="center"/>
    </xf>
    <xf numFmtId="0" fontId="0" fillId="0" borderId="4" xfId="0" applyBorder="1" applyAlignment="1">
      <alignment vertical="center"/>
    </xf>
    <xf numFmtId="0" fontId="5" fillId="0" borderId="78" xfId="78" applyFont="1" applyBorder="1" applyAlignment="1">
      <alignment horizontal="left" vertical="center"/>
    </xf>
    <xf numFmtId="0" fontId="0" fillId="0" borderId="5" xfId="0" applyBorder="1" applyAlignment="1">
      <alignment horizontal="left" vertical="center"/>
    </xf>
    <xf numFmtId="0" fontId="0" fillId="0" borderId="29" xfId="0" applyBorder="1" applyAlignment="1">
      <alignment vertical="center"/>
    </xf>
    <xf numFmtId="0" fontId="5" fillId="0" borderId="3" xfId="78" applyFont="1" applyBorder="1" applyAlignment="1">
      <alignment vertical="center"/>
    </xf>
    <xf numFmtId="0" fontId="0" fillId="0" borderId="28" xfId="0" applyBorder="1" applyAlignment="1">
      <alignment vertical="center"/>
    </xf>
    <xf numFmtId="0" fontId="0" fillId="0" borderId="19" xfId="0" applyBorder="1" applyAlignment="1">
      <alignment vertical="center"/>
    </xf>
    <xf numFmtId="0" fontId="0" fillId="0" borderId="1" xfId="0" applyBorder="1" applyAlignment="1">
      <alignment vertical="center"/>
    </xf>
    <xf numFmtId="0" fontId="17" fillId="0" borderId="81" xfId="78" applyBorder="1" applyAlignment="1">
      <alignment vertical="center"/>
    </xf>
    <xf numFmtId="0" fontId="5" fillId="0" borderId="0" xfId="78" quotePrefix="1" applyFont="1" applyAlignment="1">
      <alignment vertical="center"/>
    </xf>
    <xf numFmtId="0" fontId="5" fillId="0" borderId="98" xfId="78" applyFont="1" applyBorder="1" applyAlignment="1">
      <alignment vertical="center"/>
    </xf>
    <xf numFmtId="0" fontId="5" fillId="0" borderId="12" xfId="78" applyFont="1" applyBorder="1" applyAlignment="1">
      <alignment horizontal="center" vertical="center"/>
    </xf>
    <xf numFmtId="0" fontId="5" fillId="0" borderId="130" xfId="78" applyFont="1" applyBorder="1" applyAlignment="1">
      <alignment horizontal="center" vertical="center"/>
    </xf>
    <xf numFmtId="0" fontId="5" fillId="0" borderId="14" xfId="78" applyFont="1" applyBorder="1" applyAlignment="1">
      <alignment vertical="center"/>
    </xf>
    <xf numFmtId="0" fontId="17" fillId="0" borderId="13" xfId="78" applyBorder="1" applyAlignment="1">
      <alignment vertical="center"/>
    </xf>
    <xf numFmtId="0" fontId="17" fillId="0" borderId="31" xfId="78" applyBorder="1" applyAlignment="1">
      <alignment vertical="center"/>
    </xf>
    <xf numFmtId="0" fontId="5" fillId="0" borderId="94" xfId="78" quotePrefix="1" applyFont="1" applyBorder="1" applyAlignment="1">
      <alignment horizontal="center" vertical="center" wrapText="1"/>
    </xf>
    <xf numFmtId="0" fontId="5" fillId="0" borderId="76" xfId="78" quotePrefix="1" applyFont="1" applyBorder="1" applyAlignment="1">
      <alignment horizontal="center" vertical="center" wrapText="1"/>
    </xf>
    <xf numFmtId="0" fontId="5" fillId="0" borderId="108" xfId="78" quotePrefix="1" applyFont="1" applyBorder="1" applyAlignment="1">
      <alignment horizontal="center" vertical="center" wrapText="1"/>
    </xf>
    <xf numFmtId="0" fontId="5" fillId="21" borderId="44" xfId="78" quotePrefix="1" applyFont="1" applyFill="1" applyBorder="1" applyAlignment="1">
      <alignment horizontal="center" vertical="center" wrapText="1"/>
    </xf>
    <xf numFmtId="0" fontId="5" fillId="0" borderId="44" xfId="78" quotePrefix="1" applyFont="1" applyBorder="1" applyAlignment="1">
      <alignment horizontal="center" vertical="center" wrapText="1"/>
    </xf>
    <xf numFmtId="0" fontId="5" fillId="21" borderId="113" xfId="78" quotePrefix="1" applyFont="1" applyFill="1" applyBorder="1" applyAlignment="1">
      <alignment horizontal="center" vertical="center" wrapText="1"/>
    </xf>
    <xf numFmtId="0" fontId="5" fillId="0" borderId="94" xfId="78" applyFont="1" applyBorder="1" applyAlignment="1">
      <alignment horizontal="center" vertical="center" wrapText="1"/>
    </xf>
    <xf numFmtId="0" fontId="5" fillId="21" borderId="76" xfId="78" applyFont="1" applyFill="1" applyBorder="1" applyAlignment="1">
      <alignment horizontal="center" vertical="center" wrapText="1"/>
    </xf>
    <xf numFmtId="0" fontId="20" fillId="0" borderId="45" xfId="78" applyFont="1" applyBorder="1" applyAlignment="1">
      <alignment horizontal="center" vertical="center" wrapText="1"/>
    </xf>
    <xf numFmtId="0" fontId="20" fillId="0" borderId="43" xfId="78" applyFont="1" applyBorder="1" applyAlignment="1">
      <alignment horizontal="center" vertical="center" wrapText="1"/>
    </xf>
    <xf numFmtId="0" fontId="20" fillId="0" borderId="66" xfId="78" applyFont="1" applyBorder="1" applyAlignment="1">
      <alignment horizontal="center" vertical="center" wrapText="1"/>
    </xf>
    <xf numFmtId="0" fontId="5" fillId="0" borderId="76" xfId="78" applyFont="1" applyBorder="1" applyAlignment="1">
      <alignment horizontal="center" vertical="center" wrapText="1"/>
    </xf>
    <xf numFmtId="0" fontId="5" fillId="21" borderId="113" xfId="78" applyFont="1" applyFill="1" applyBorder="1" applyAlignment="1">
      <alignment horizontal="center" vertical="center" wrapText="1"/>
    </xf>
    <xf numFmtId="0" fontId="5" fillId="0" borderId="42" xfId="78" applyFont="1" applyBorder="1" applyAlignment="1">
      <alignment horizontal="center" vertical="center" wrapText="1"/>
    </xf>
    <xf numFmtId="0" fontId="20" fillId="0" borderId="108" xfId="78" applyFont="1" applyBorder="1" applyAlignment="1">
      <alignment horizontal="center" vertical="center" wrapText="1"/>
    </xf>
    <xf numFmtId="0" fontId="20" fillId="0" borderId="42" xfId="78" applyFont="1" applyBorder="1" applyAlignment="1">
      <alignment horizontal="center" vertical="center" wrapText="1"/>
    </xf>
    <xf numFmtId="0" fontId="5" fillId="21" borderId="109" xfId="78" applyFont="1" applyFill="1" applyBorder="1" applyAlignment="1">
      <alignment horizontal="center" vertical="center" wrapText="1"/>
    </xf>
    <xf numFmtId="0" fontId="5" fillId="0" borderId="45" xfId="78" applyFont="1" applyBorder="1" applyAlignment="1">
      <alignment horizontal="center" vertical="center" wrapText="1"/>
    </xf>
    <xf numFmtId="0" fontId="5" fillId="0" borderId="43" xfId="78" quotePrefix="1" applyFont="1" applyBorder="1" applyAlignment="1">
      <alignment horizontal="center" vertical="center" wrapText="1"/>
    </xf>
    <xf numFmtId="0" fontId="20" fillId="0" borderId="75" xfId="78" applyFont="1" applyBorder="1" applyAlignment="1">
      <alignment horizontal="center" vertical="center" wrapText="1"/>
    </xf>
    <xf numFmtId="0" fontId="5" fillId="0" borderId="80" xfId="78" applyFont="1" applyBorder="1" applyAlignment="1">
      <alignment horizontal="center" vertical="center"/>
    </xf>
    <xf numFmtId="0" fontId="5" fillId="0" borderId="50" xfId="78" applyFont="1" applyBorder="1" applyAlignment="1">
      <alignment horizontal="left" vertical="center"/>
    </xf>
    <xf numFmtId="0" fontId="9" fillId="0" borderId="66" xfId="79" applyBorder="1" applyAlignment="1">
      <alignment horizontal="left" vertical="center"/>
    </xf>
    <xf numFmtId="16" fontId="5" fillId="0" borderId="66" xfId="78" quotePrefix="1" applyNumberFormat="1" applyFont="1" applyBorder="1" applyAlignment="1">
      <alignment horizontal="center" vertical="center"/>
    </xf>
    <xf numFmtId="16" fontId="5" fillId="0" borderId="66" xfId="78" applyNumberFormat="1" applyFont="1" applyBorder="1" applyAlignment="1">
      <alignment horizontal="center" vertical="center"/>
    </xf>
    <xf numFmtId="0" fontId="9" fillId="0" borderId="66" xfId="79" applyBorder="1" applyAlignment="1">
      <alignment vertical="center"/>
    </xf>
    <xf numFmtId="0" fontId="5" fillId="0" borderId="66" xfId="78" quotePrefix="1" applyFont="1" applyBorder="1" applyAlignment="1">
      <alignment horizontal="center" vertical="center"/>
    </xf>
    <xf numFmtId="165" fontId="5" fillId="0" borderId="65" xfId="78" quotePrefix="1" applyNumberFormat="1" applyFont="1" applyBorder="1" applyAlignment="1">
      <alignment horizontal="center" vertical="center"/>
    </xf>
    <xf numFmtId="0" fontId="5" fillId="0" borderId="43" xfId="78" applyFont="1" applyBorder="1" applyAlignment="1">
      <alignment horizontal="center" vertical="center"/>
    </xf>
    <xf numFmtId="0" fontId="20" fillId="0" borderId="43" xfId="78" applyFont="1" applyBorder="1" applyAlignment="1">
      <alignment horizontal="center" vertical="center"/>
    </xf>
    <xf numFmtId="0" fontId="5" fillId="0" borderId="106" xfId="79" applyFont="1" applyBorder="1" applyAlignment="1">
      <alignment horizontal="left" vertical="center"/>
    </xf>
    <xf numFmtId="0" fontId="9" fillId="0" borderId="65" xfId="79" applyBorder="1" applyAlignment="1">
      <alignment horizontal="center" vertical="center"/>
    </xf>
    <xf numFmtId="0" fontId="5" fillId="0" borderId="56" xfId="78" applyFont="1" applyBorder="1" applyAlignment="1">
      <alignment horizontal="left" vertical="center"/>
    </xf>
    <xf numFmtId="0" fontId="5" fillId="0" borderId="53" xfId="78" applyFont="1" applyBorder="1" applyAlignment="1">
      <alignment horizontal="center" vertical="center"/>
    </xf>
    <xf numFmtId="165" fontId="5" fillId="0" borderId="54" xfId="78" applyNumberFormat="1" applyFont="1" applyBorder="1" applyAlignment="1">
      <alignment horizontal="center" vertical="center"/>
    </xf>
    <xf numFmtId="0" fontId="5" fillId="0" borderId="51" xfId="78" applyFont="1" applyBorder="1" applyAlignment="1">
      <alignment horizontal="left" vertical="center"/>
    </xf>
    <xf numFmtId="165" fontId="5" fillId="0" borderId="46" xfId="78" applyNumberFormat="1" applyFont="1" applyBorder="1" applyAlignment="1">
      <alignment horizontal="left" vertical="center"/>
    </xf>
    <xf numFmtId="165" fontId="5" fillId="0" borderId="76" xfId="78" quotePrefix="1" applyNumberFormat="1" applyFont="1" applyBorder="1" applyAlignment="1">
      <alignment horizontal="center" vertical="center"/>
    </xf>
    <xf numFmtId="165" fontId="5" fillId="0" borderId="40" xfId="78" applyNumberFormat="1" applyFont="1" applyBorder="1" applyAlignment="1">
      <alignment horizontal="left" vertical="center"/>
    </xf>
    <xf numFmtId="0" fontId="5" fillId="0" borderId="54" xfId="78" applyFont="1" applyBorder="1" applyAlignment="1">
      <alignment horizontal="center" vertical="center"/>
    </xf>
    <xf numFmtId="0" fontId="9" fillId="0" borderId="0" xfId="79"/>
    <xf numFmtId="0" fontId="7" fillId="0" borderId="0" xfId="78" applyFont="1" applyAlignment="1">
      <alignment vertical="center"/>
    </xf>
    <xf numFmtId="0" fontId="8" fillId="0" borderId="20" xfId="79" applyFont="1" applyBorder="1" applyAlignment="1">
      <alignment horizontal="right" vertical="center" textRotation="90"/>
    </xf>
    <xf numFmtId="0" fontId="5" fillId="0" borderId="4" xfId="78" applyFont="1" applyBorder="1" applyAlignment="1">
      <alignment vertical="center"/>
    </xf>
    <xf numFmtId="0" fontId="9" fillId="0" borderId="20" xfId="79" applyBorder="1" applyAlignment="1">
      <alignment horizontal="right" vertical="center" textRotation="90"/>
    </xf>
    <xf numFmtId="0" fontId="9" fillId="0" borderId="2" xfId="79" applyBorder="1"/>
    <xf numFmtId="1" fontId="9" fillId="0" borderId="12" xfId="79" applyNumberFormat="1" applyBorder="1" applyAlignment="1">
      <alignment horizontal="center" vertical="center"/>
    </xf>
    <xf numFmtId="1" fontId="9" fillId="0" borderId="0" xfId="79" applyNumberFormat="1" applyAlignment="1">
      <alignment horizontal="center" vertical="center"/>
    </xf>
    <xf numFmtId="1" fontId="9" fillId="0" borderId="0" xfId="79" applyNumberFormat="1"/>
    <xf numFmtId="0" fontId="9" fillId="0" borderId="2" xfId="79" applyBorder="1" applyAlignment="1">
      <alignment horizontal="right"/>
    </xf>
    <xf numFmtId="1" fontId="9" fillId="0" borderId="3" xfId="79" applyNumberFormat="1" applyBorder="1" applyAlignment="1">
      <alignment horizontal="center" vertical="center"/>
    </xf>
    <xf numFmtId="0" fontId="9" fillId="0" borderId="0" xfId="79" applyAlignment="1">
      <alignment horizontal="left" vertical="center"/>
    </xf>
    <xf numFmtId="0" fontId="9" fillId="0" borderId="78" xfId="79" applyBorder="1" applyAlignment="1">
      <alignment horizontal="left" vertical="center"/>
    </xf>
    <xf numFmtId="0" fontId="9" fillId="0" borderId="0" xfId="79" applyAlignment="1">
      <alignment horizontal="center" vertical="center"/>
    </xf>
    <xf numFmtId="0" fontId="5" fillId="0" borderId="8" xfId="78" applyFont="1" applyBorder="1" applyAlignment="1">
      <alignment vertical="center"/>
    </xf>
    <xf numFmtId="0" fontId="9" fillId="0" borderId="7" xfId="79" applyBorder="1" applyAlignment="1">
      <alignment horizontal="left" vertical="center"/>
    </xf>
    <xf numFmtId="0" fontId="9" fillId="0" borderId="77" xfId="79" applyBorder="1" applyAlignment="1">
      <alignment horizontal="left" vertical="center"/>
    </xf>
    <xf numFmtId="0" fontId="9" fillId="0" borderId="7" xfId="79" applyBorder="1" applyAlignment="1">
      <alignment horizontal="center" vertical="center"/>
    </xf>
    <xf numFmtId="0" fontId="9" fillId="0" borderId="104" xfId="79" applyBorder="1" applyAlignment="1">
      <alignment horizontal="left" vertical="center"/>
    </xf>
    <xf numFmtId="0" fontId="9" fillId="0" borderId="75" xfId="79" applyBorder="1" applyAlignment="1">
      <alignment horizontal="left" vertical="center"/>
    </xf>
    <xf numFmtId="0" fontId="5" fillId="0" borderId="76" xfId="78" applyFont="1" applyBorder="1" applyAlignment="1">
      <alignment horizontal="left" vertical="center"/>
    </xf>
    <xf numFmtId="0" fontId="9" fillId="0" borderId="105" xfId="79" applyBorder="1" applyAlignment="1">
      <alignment horizontal="center" vertical="center"/>
    </xf>
    <xf numFmtId="1" fontId="9" fillId="0" borderId="12" xfId="79" quotePrefix="1" applyNumberFormat="1" applyBorder="1" applyAlignment="1">
      <alignment horizontal="center" vertical="center"/>
    </xf>
    <xf numFmtId="0" fontId="9" fillId="0" borderId="8" xfId="79" applyBorder="1" applyAlignment="1">
      <alignment horizontal="center" vertical="center"/>
    </xf>
    <xf numFmtId="0" fontId="5" fillId="0" borderId="6" xfId="78" applyFont="1" applyBorder="1" applyAlignment="1">
      <alignment vertical="center" textRotation="90" wrapText="1"/>
    </xf>
    <xf numFmtId="0" fontId="9" fillId="0" borderId="2" xfId="79" applyBorder="1" applyAlignment="1">
      <alignment horizontal="center" vertical="center"/>
    </xf>
    <xf numFmtId="0" fontId="9" fillId="0" borderId="1" xfId="79" applyBorder="1" applyAlignment="1">
      <alignment vertical="center" textRotation="90" wrapText="1"/>
    </xf>
    <xf numFmtId="1" fontId="9" fillId="0" borderId="9" xfId="79" applyNumberFormat="1" applyBorder="1" applyAlignment="1">
      <alignment horizontal="center" vertical="center"/>
    </xf>
    <xf numFmtId="0" fontId="9" fillId="0" borderId="4" xfId="79" applyBorder="1" applyAlignment="1">
      <alignment horizontal="left" vertical="center"/>
    </xf>
    <xf numFmtId="0" fontId="9" fillId="0" borderId="79" xfId="79" applyBorder="1" applyAlignment="1">
      <alignment horizontal="left" vertical="center"/>
    </xf>
    <xf numFmtId="0" fontId="9" fillId="0" borderId="5" xfId="79" applyBorder="1" applyAlignment="1">
      <alignment horizontal="center" vertical="center"/>
    </xf>
    <xf numFmtId="0" fontId="9" fillId="0" borderId="20" xfId="79" applyBorder="1" applyAlignment="1">
      <alignment vertical="center"/>
    </xf>
    <xf numFmtId="0" fontId="9" fillId="0" borderId="0" xfId="79" applyAlignment="1">
      <alignment horizontal="right"/>
    </xf>
    <xf numFmtId="0" fontId="5" fillId="0" borderId="7" xfId="78" applyFont="1" applyBorder="1" applyAlignment="1">
      <alignment vertical="center"/>
    </xf>
    <xf numFmtId="0" fontId="5" fillId="0" borderId="6" xfId="78" applyFont="1" applyBorder="1" applyAlignment="1">
      <alignment vertical="top" wrapText="1"/>
    </xf>
    <xf numFmtId="0" fontId="9" fillId="0" borderId="7" xfId="79" applyBorder="1" applyAlignment="1">
      <alignment vertical="top" wrapText="1"/>
    </xf>
    <xf numFmtId="0" fontId="9" fillId="0" borderId="29" xfId="79" applyBorder="1" applyAlignment="1">
      <alignment vertical="top" wrapText="1"/>
    </xf>
    <xf numFmtId="0" fontId="9" fillId="0" borderId="1" xfId="79" applyBorder="1" applyAlignment="1">
      <alignment vertical="top" wrapText="1"/>
    </xf>
    <xf numFmtId="0" fontId="9" fillId="0" borderId="0" xfId="79" applyAlignment="1">
      <alignment vertical="top" wrapText="1"/>
    </xf>
    <xf numFmtId="0" fontId="9" fillId="0" borderId="19" xfId="79" applyBorder="1" applyAlignment="1">
      <alignment vertical="top" wrapText="1"/>
    </xf>
    <xf numFmtId="0" fontId="8" fillId="0" borderId="0" xfId="79" applyFont="1" applyAlignment="1">
      <alignment horizontal="center"/>
    </xf>
    <xf numFmtId="0" fontId="5" fillId="0" borderId="13" xfId="78" applyFont="1" applyBorder="1" applyAlignment="1">
      <alignment vertical="center"/>
    </xf>
    <xf numFmtId="0" fontId="5" fillId="0" borderId="120" xfId="78" applyFont="1" applyBorder="1" applyAlignment="1">
      <alignment vertical="center"/>
    </xf>
    <xf numFmtId="0" fontId="5" fillId="0" borderId="89" xfId="78" applyFont="1" applyBorder="1" applyAlignment="1">
      <alignment vertical="center"/>
    </xf>
    <xf numFmtId="0" fontId="9" fillId="0" borderId="89" xfId="79" applyBorder="1" applyAlignment="1">
      <alignment vertical="center"/>
    </xf>
    <xf numFmtId="0" fontId="9" fillId="0" borderId="25" xfId="79" applyBorder="1" applyAlignment="1">
      <alignment vertical="center"/>
    </xf>
    <xf numFmtId="165" fontId="5" fillId="0" borderId="36" xfId="78" applyNumberFormat="1" applyFont="1" applyBorder="1" applyAlignment="1">
      <alignment horizontal="center" vertical="center"/>
    </xf>
    <xf numFmtId="1" fontId="5" fillId="0" borderId="112" xfId="78" applyNumberFormat="1" applyFont="1" applyBorder="1" applyAlignment="1">
      <alignment horizontal="center" vertical="center"/>
    </xf>
    <xf numFmtId="1" fontId="5" fillId="0" borderId="39" xfId="78" applyNumberFormat="1" applyFont="1" applyBorder="1" applyAlignment="1">
      <alignment horizontal="center" vertical="center"/>
    </xf>
    <xf numFmtId="0" fontId="5" fillId="0" borderId="71" xfId="78" applyFont="1" applyBorder="1" applyAlignment="1">
      <alignment horizontal="right" vertical="center"/>
    </xf>
    <xf numFmtId="0" fontId="5" fillId="0" borderId="26" xfId="78" applyFont="1" applyBorder="1" applyAlignment="1">
      <alignment horizontal="right" vertical="center"/>
    </xf>
    <xf numFmtId="165" fontId="5" fillId="0" borderId="119" xfId="78" applyNumberFormat="1" applyFont="1" applyBorder="1" applyAlignment="1">
      <alignment horizontal="center" vertical="center"/>
    </xf>
    <xf numFmtId="1" fontId="5" fillId="0" borderId="71" xfId="78" applyNumberFormat="1" applyFont="1" applyBorder="1" applyAlignment="1">
      <alignment horizontal="center" vertical="center"/>
    </xf>
    <xf numFmtId="165" fontId="5" fillId="0" borderId="69" xfId="78" applyNumberFormat="1" applyFont="1" applyBorder="1" applyAlignment="1">
      <alignment horizontal="center" vertical="center"/>
    </xf>
    <xf numFmtId="165" fontId="5" fillId="0" borderId="39" xfId="78" applyNumberFormat="1" applyFont="1" applyBorder="1" applyAlignment="1">
      <alignment vertical="center"/>
    </xf>
    <xf numFmtId="0" fontId="5" fillId="0" borderId="50" xfId="78" applyFont="1" applyBorder="1" applyAlignment="1">
      <alignment vertical="center"/>
    </xf>
    <xf numFmtId="165" fontId="5" fillId="0" borderId="45" xfId="78" applyNumberFormat="1" applyFont="1" applyBorder="1" applyAlignment="1">
      <alignment vertical="center"/>
    </xf>
    <xf numFmtId="1" fontId="5" fillId="0" borderId="106" xfId="78" applyNumberFormat="1" applyFont="1" applyBorder="1" applyAlignment="1">
      <alignment horizontal="center" vertical="center"/>
    </xf>
    <xf numFmtId="165" fontId="5" fillId="0" borderId="38" xfId="78" applyNumberFormat="1" applyFont="1" applyBorder="1" applyAlignment="1">
      <alignment horizontal="left" vertical="center"/>
    </xf>
    <xf numFmtId="1" fontId="5" fillId="0" borderId="116" xfId="78" applyNumberFormat="1" applyFont="1" applyBorder="1" applyAlignment="1">
      <alignment horizontal="center" vertical="center"/>
    </xf>
    <xf numFmtId="1" fontId="5" fillId="0" borderId="47" xfId="78" applyNumberFormat="1" applyFont="1" applyBorder="1" applyAlignment="1">
      <alignment horizontal="center" vertical="center"/>
    </xf>
    <xf numFmtId="0" fontId="9" fillId="0" borderId="0" xfId="79" applyAlignment="1">
      <alignment vertical="center"/>
    </xf>
    <xf numFmtId="0" fontId="0" fillId="0" borderId="7" xfId="0" applyBorder="1"/>
    <xf numFmtId="0" fontId="9" fillId="0" borderId="7" xfId="0" applyFont="1" applyBorder="1" applyAlignment="1">
      <alignment horizontal="right"/>
    </xf>
    <xf numFmtId="0" fontId="5" fillId="0" borderId="0" xfId="81" applyFont="1" applyAlignment="1">
      <alignment horizontal="left" vertical="center"/>
    </xf>
    <xf numFmtId="0" fontId="9" fillId="0" borderId="78" xfId="81" applyBorder="1" applyAlignment="1">
      <alignment horizontal="left" vertical="center"/>
    </xf>
    <xf numFmtId="0" fontId="5" fillId="0" borderId="0" xfId="78" applyFont="1" applyAlignment="1">
      <alignment vertical="center" wrapText="1"/>
    </xf>
    <xf numFmtId="165" fontId="5" fillId="0" borderId="20" xfId="78" applyNumberFormat="1" applyFont="1" applyBorder="1" applyAlignment="1">
      <alignment horizontal="left" vertical="center"/>
    </xf>
    <xf numFmtId="0" fontId="5" fillId="23" borderId="1" xfId="78" applyFont="1" applyFill="1" applyBorder="1" applyAlignment="1">
      <alignment horizontal="center" vertical="center"/>
    </xf>
    <xf numFmtId="0" fontId="5" fillId="21" borderId="1" xfId="78" applyFont="1" applyFill="1" applyBorder="1" applyAlignment="1">
      <alignment horizontal="center" vertical="center"/>
    </xf>
    <xf numFmtId="0" fontId="5" fillId="21" borderId="103" xfId="78" applyFont="1" applyFill="1" applyBorder="1" applyAlignment="1">
      <alignment horizontal="center" vertical="center"/>
    </xf>
    <xf numFmtId="0" fontId="5" fillId="21" borderId="117" xfId="78" applyFont="1" applyFill="1" applyBorder="1" applyAlignment="1">
      <alignment horizontal="center" vertical="center"/>
    </xf>
    <xf numFmtId="0" fontId="5" fillId="23" borderId="11" xfId="78" applyFont="1" applyFill="1" applyBorder="1" applyAlignment="1">
      <alignment horizontal="center" vertical="center"/>
    </xf>
    <xf numFmtId="1" fontId="9" fillId="0" borderId="131" xfId="0" applyNumberFormat="1" applyFont="1" applyBorder="1" applyAlignment="1">
      <alignment horizontal="center" vertical="center"/>
    </xf>
    <xf numFmtId="1" fontId="0" fillId="0" borderId="131" xfId="0" applyNumberFormat="1" applyBorder="1" applyAlignment="1">
      <alignment horizontal="center" vertical="center"/>
    </xf>
    <xf numFmtId="1" fontId="0" fillId="0" borderId="7" xfId="0" applyNumberFormat="1" applyBorder="1" applyAlignment="1">
      <alignment horizontal="center" vertical="center"/>
    </xf>
    <xf numFmtId="0" fontId="5" fillId="21" borderId="1" xfId="78" quotePrefix="1" applyFont="1" applyFill="1" applyBorder="1" applyAlignment="1">
      <alignment horizontal="center" vertical="center"/>
    </xf>
    <xf numFmtId="0" fontId="5" fillId="21" borderId="84" xfId="78" applyFont="1" applyFill="1" applyBorder="1" applyAlignment="1">
      <alignment horizontal="center" vertical="center"/>
    </xf>
    <xf numFmtId="0" fontId="5" fillId="23" borderId="1" xfId="78" quotePrefix="1" applyFont="1" applyFill="1" applyBorder="1" applyAlignment="1">
      <alignment horizontal="center" vertical="center"/>
    </xf>
    <xf numFmtId="0" fontId="5" fillId="23" borderId="84" xfId="78" applyFont="1" applyFill="1" applyBorder="1" applyAlignment="1">
      <alignment horizontal="center" vertical="center"/>
    </xf>
    <xf numFmtId="1" fontId="9" fillId="0" borderId="3" xfId="0" applyNumberFormat="1" applyFont="1" applyBorder="1" applyAlignment="1">
      <alignment horizontal="center" vertical="center"/>
    </xf>
    <xf numFmtId="1" fontId="9" fillId="0" borderId="0" xfId="0" applyNumberFormat="1" applyFont="1" applyAlignment="1">
      <alignment horizontal="left" vertical="center"/>
    </xf>
    <xf numFmtId="1" fontId="9" fillId="0" borderId="132" xfId="0" applyNumberFormat="1" applyFont="1" applyBorder="1" applyAlignment="1">
      <alignment horizontal="center" vertical="center"/>
    </xf>
    <xf numFmtId="1" fontId="0" fillId="0" borderId="6" xfId="0" applyNumberFormat="1" applyBorder="1" applyAlignment="1">
      <alignment horizontal="center" vertical="center"/>
    </xf>
    <xf numFmtId="1" fontId="9" fillId="0" borderId="7" xfId="0" applyNumberFormat="1" applyFont="1" applyBorder="1" applyAlignment="1">
      <alignment horizontal="left" vertical="center"/>
    </xf>
    <xf numFmtId="1" fontId="9" fillId="0" borderId="131" xfId="0" quotePrefix="1" applyNumberFormat="1" applyFont="1" applyBorder="1" applyAlignment="1">
      <alignment horizontal="center" vertical="center"/>
    </xf>
    <xf numFmtId="0" fontId="9" fillId="0" borderId="12" xfId="78" applyFont="1" applyBorder="1" applyAlignment="1">
      <alignment horizontal="center" vertical="center"/>
    </xf>
    <xf numFmtId="0" fontId="5" fillId="0" borderId="0" xfId="78" quotePrefix="1" applyFont="1" applyAlignment="1">
      <alignment horizontal="left" vertical="center"/>
    </xf>
    <xf numFmtId="0" fontId="5" fillId="22" borderId="4" xfId="81" applyFont="1" applyFill="1" applyBorder="1" applyAlignment="1">
      <alignment horizontal="left" vertical="center"/>
    </xf>
    <xf numFmtId="0" fontId="5" fillId="0" borderId="19" xfId="0" applyFont="1" applyBorder="1" applyAlignment="1">
      <alignment vertical="center"/>
    </xf>
    <xf numFmtId="0" fontId="5" fillId="0" borderId="4" xfId="78" applyFont="1" applyBorder="1" applyAlignment="1">
      <alignment horizontal="center" vertical="center"/>
    </xf>
    <xf numFmtId="0" fontId="0" fillId="22" borderId="79" xfId="0" applyFill="1" applyBorder="1" applyAlignment="1">
      <alignment horizontal="left" vertical="center"/>
    </xf>
    <xf numFmtId="0" fontId="7" fillId="0" borderId="4" xfId="78" applyFont="1" applyBorder="1" applyAlignment="1">
      <alignment horizontal="center" vertical="center"/>
    </xf>
    <xf numFmtId="0" fontId="5" fillId="0" borderId="1" xfId="0" applyFont="1" applyBorder="1" applyAlignment="1">
      <alignment vertical="center"/>
    </xf>
    <xf numFmtId="0" fontId="5" fillId="0" borderId="0" xfId="0" applyFont="1" applyAlignment="1">
      <alignment vertical="center"/>
    </xf>
    <xf numFmtId="0" fontId="9" fillId="0" borderId="4" xfId="79" applyBorder="1" applyAlignment="1">
      <alignment horizontal="center" vertical="center"/>
    </xf>
    <xf numFmtId="0" fontId="5" fillId="0" borderId="81" xfId="78" quotePrefix="1" applyFont="1" applyBorder="1" applyAlignment="1">
      <alignment horizontal="left" vertical="center"/>
    </xf>
    <xf numFmtId="0" fontId="5" fillId="22" borderId="0" xfId="81" applyFont="1" applyFill="1" applyAlignment="1">
      <alignment horizontal="left" vertical="center"/>
    </xf>
    <xf numFmtId="0" fontId="0" fillId="22" borderId="78" xfId="0" applyFill="1" applyBorder="1" applyAlignment="1">
      <alignment horizontal="left" vertical="center"/>
    </xf>
    <xf numFmtId="0" fontId="5" fillId="0" borderId="1" xfId="78" quotePrefix="1" applyFont="1" applyBorder="1" applyAlignment="1">
      <alignment horizontal="left" vertical="center"/>
    </xf>
    <xf numFmtId="0" fontId="5" fillId="0" borderId="78" xfId="78" quotePrefix="1" applyFont="1" applyBorder="1" applyAlignment="1">
      <alignment horizontal="left" vertical="center"/>
    </xf>
    <xf numFmtId="0" fontId="5" fillId="0" borderId="5" xfId="78" quotePrefix="1" applyFont="1" applyBorder="1" applyAlignment="1">
      <alignment horizontal="left" vertical="center"/>
    </xf>
    <xf numFmtId="0" fontId="5" fillId="21" borderId="66" xfId="78" applyFont="1" applyFill="1" applyBorder="1" applyAlignment="1">
      <alignment vertical="center"/>
    </xf>
    <xf numFmtId="0" fontId="5" fillId="21" borderId="0" xfId="78" applyFont="1" applyFill="1" applyAlignment="1">
      <alignment vertical="center"/>
    </xf>
    <xf numFmtId="0" fontId="5" fillId="21" borderId="65" xfId="78" applyFont="1" applyFill="1" applyBorder="1" applyAlignment="1">
      <alignment vertical="center"/>
    </xf>
    <xf numFmtId="0" fontId="5" fillId="0" borderId="24" xfId="78" applyFont="1" applyBorder="1" applyAlignment="1">
      <alignment vertical="center"/>
    </xf>
    <xf numFmtId="0" fontId="5" fillId="21" borderId="66" xfId="78" quotePrefix="1" applyFont="1" applyFill="1" applyBorder="1" applyAlignment="1">
      <alignment vertical="center"/>
    </xf>
    <xf numFmtId="165" fontId="5" fillId="21" borderId="65" xfId="78" quotePrefix="1" applyNumberFormat="1" applyFont="1" applyFill="1" applyBorder="1" applyAlignment="1">
      <alignment vertical="center"/>
    </xf>
    <xf numFmtId="165" fontId="5" fillId="21" borderId="66" xfId="78" applyNumberFormat="1" applyFont="1" applyFill="1" applyBorder="1" applyAlignment="1">
      <alignment vertical="center"/>
    </xf>
    <xf numFmtId="0" fontId="5" fillId="21" borderId="2" xfId="78" applyFont="1" applyFill="1" applyBorder="1" applyAlignment="1">
      <alignment vertical="center"/>
    </xf>
    <xf numFmtId="0" fontId="5" fillId="23" borderId="0" xfId="78" applyFont="1" applyFill="1" applyAlignment="1">
      <alignment vertical="center"/>
    </xf>
    <xf numFmtId="0" fontId="5" fillId="23" borderId="2" xfId="78" applyFont="1" applyFill="1" applyBorder="1" applyAlignment="1">
      <alignment vertical="center"/>
    </xf>
    <xf numFmtId="0" fontId="5" fillId="23" borderId="23" xfId="78" applyFont="1" applyFill="1" applyBorder="1" applyAlignment="1">
      <alignment vertical="center"/>
    </xf>
    <xf numFmtId="0" fontId="5" fillId="23" borderId="23" xfId="78" applyFont="1" applyFill="1" applyBorder="1" applyAlignment="1">
      <alignment horizontal="center" vertical="center"/>
    </xf>
    <xf numFmtId="0" fontId="5" fillId="23" borderId="25" xfId="78" applyFont="1" applyFill="1" applyBorder="1" applyAlignment="1">
      <alignment horizontal="center" vertical="center"/>
    </xf>
    <xf numFmtId="0" fontId="5" fillId="21" borderId="23" xfId="78" applyFont="1" applyFill="1" applyBorder="1" applyAlignment="1">
      <alignment horizontal="center" vertical="center"/>
    </xf>
    <xf numFmtId="0" fontId="5" fillId="21" borderId="25" xfId="78" applyFont="1" applyFill="1" applyBorder="1" applyAlignment="1">
      <alignment horizontal="center" vertical="center"/>
    </xf>
    <xf numFmtId="0" fontId="5" fillId="21" borderId="23" xfId="78" applyFont="1" applyFill="1" applyBorder="1" applyAlignment="1">
      <alignment vertical="center"/>
    </xf>
    <xf numFmtId="0" fontId="5" fillId="21" borderId="26" xfId="78" applyFont="1" applyFill="1" applyBorder="1" applyAlignment="1">
      <alignment vertical="center"/>
    </xf>
    <xf numFmtId="0" fontId="0" fillId="0" borderId="0" xfId="0" applyAlignment="1">
      <alignment horizontal="left" vertical="top" wrapText="1"/>
    </xf>
    <xf numFmtId="0" fontId="9" fillId="0" borderId="81" xfId="78" applyFont="1" applyBorder="1" applyAlignment="1">
      <alignment horizontal="left" vertical="center"/>
    </xf>
    <xf numFmtId="0" fontId="9" fillId="0" borderId="0" xfId="0" applyFont="1" applyAlignment="1">
      <alignment horizontal="left" vertical="center"/>
    </xf>
    <xf numFmtId="0" fontId="9" fillId="0" borderId="78" xfId="0" applyFont="1" applyBorder="1" applyAlignment="1">
      <alignment horizontal="left" vertical="center"/>
    </xf>
    <xf numFmtId="0" fontId="9" fillId="0" borderId="81" xfId="78" applyFont="1" applyBorder="1" applyAlignment="1">
      <alignment horizontal="center" vertical="center"/>
    </xf>
    <xf numFmtId="0" fontId="0" fillId="0" borderId="2" xfId="0" applyBorder="1" applyAlignment="1">
      <alignment horizontal="center" vertical="center"/>
    </xf>
    <xf numFmtId="0" fontId="9" fillId="0" borderId="1" xfId="78" applyFont="1" applyBorder="1" applyAlignment="1">
      <alignment horizontal="left" vertical="center"/>
    </xf>
    <xf numFmtId="0" fontId="0" fillId="0" borderId="0" xfId="0" applyAlignment="1">
      <alignment vertical="center"/>
    </xf>
    <xf numFmtId="0" fontId="0" fillId="0" borderId="78" xfId="0" applyBorder="1" applyAlignment="1">
      <alignment vertical="center"/>
    </xf>
    <xf numFmtId="0" fontId="0" fillId="0" borderId="0" xfId="0" applyAlignment="1">
      <alignment horizontal="left" vertical="center"/>
    </xf>
    <xf numFmtId="0" fontId="0" fillId="0" borderId="78" xfId="0" applyBorder="1" applyAlignment="1">
      <alignment horizontal="left" vertical="center"/>
    </xf>
    <xf numFmtId="0" fontId="7" fillId="0" borderId="6" xfId="78" applyFont="1" applyBorder="1" applyAlignment="1">
      <alignment horizontal="center" vertical="center"/>
    </xf>
    <xf numFmtId="0" fontId="0" fillId="0" borderId="7" xfId="0" applyBorder="1" applyAlignment="1">
      <alignment vertical="center"/>
    </xf>
    <xf numFmtId="0" fontId="0" fillId="0" borderId="77" xfId="0" applyBorder="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79" xfId="0" applyBorder="1" applyAlignment="1">
      <alignment vertical="center"/>
    </xf>
    <xf numFmtId="0" fontId="7" fillId="0" borderId="80" xfId="78" applyFont="1" applyBorder="1" applyAlignment="1">
      <alignment horizontal="center" vertical="center"/>
    </xf>
    <xf numFmtId="0" fontId="0" fillId="0" borderId="82" xfId="0" applyBorder="1" applyAlignment="1">
      <alignment vertical="center"/>
    </xf>
    <xf numFmtId="0" fontId="7" fillId="0" borderId="83" xfId="78" applyFont="1" applyBorder="1" applyAlignment="1">
      <alignment horizontal="center" vertical="center" wrapText="1"/>
    </xf>
    <xf numFmtId="0" fontId="0" fillId="0" borderId="85" xfId="0" applyBorder="1" applyAlignment="1">
      <alignment vertical="center"/>
    </xf>
    <xf numFmtId="0" fontId="5" fillId="0" borderId="6" xfId="78" applyFont="1" applyBorder="1" applyAlignment="1">
      <alignment horizontal="left" vertical="center"/>
    </xf>
    <xf numFmtId="0" fontId="0" fillId="0" borderId="7" xfId="0" applyBorder="1" applyAlignment="1">
      <alignment horizontal="left" vertical="center"/>
    </xf>
    <xf numFmtId="0" fontId="0" fillId="0" borderId="77" xfId="0" applyBorder="1" applyAlignment="1">
      <alignment horizontal="left" vertical="center"/>
    </xf>
    <xf numFmtId="0" fontId="5" fillId="0" borderId="80" xfId="78" applyFont="1" applyBorder="1" applyAlignment="1">
      <alignment horizontal="left" vertical="center"/>
    </xf>
    <xf numFmtId="0" fontId="5" fillId="0" borderId="80" xfId="78" applyFont="1" applyBorder="1" applyAlignment="1">
      <alignment horizontal="center" vertical="center"/>
    </xf>
    <xf numFmtId="0" fontId="5" fillId="0" borderId="8" xfId="78" applyFont="1" applyBorder="1" applyAlignment="1">
      <alignment horizontal="center" vertical="center"/>
    </xf>
    <xf numFmtId="49" fontId="5" fillId="0" borderId="49" xfId="78" quotePrefix="1" applyNumberFormat="1" applyFont="1" applyBorder="1" applyAlignment="1">
      <alignment horizontal="left" vertical="center"/>
    </xf>
    <xf numFmtId="49" fontId="5" fillId="0" borderId="91" xfId="78" applyNumberFormat="1" applyFont="1" applyBorder="1" applyAlignment="1">
      <alignment horizontal="left" vertical="center"/>
    </xf>
    <xf numFmtId="49" fontId="5" fillId="0" borderId="92" xfId="78" applyNumberFormat="1" applyFont="1" applyBorder="1" applyAlignment="1">
      <alignment horizontal="left" vertical="center"/>
    </xf>
    <xf numFmtId="0" fontId="5" fillId="0" borderId="49" xfId="78" applyFont="1" applyBorder="1" applyAlignment="1">
      <alignment horizontal="center" vertical="center"/>
    </xf>
    <xf numFmtId="0" fontId="5" fillId="0" borderId="93" xfId="78" applyFont="1" applyBorder="1" applyAlignment="1">
      <alignment horizontal="center" vertical="center"/>
    </xf>
    <xf numFmtId="0" fontId="9" fillId="0" borderId="80" xfId="78" applyFont="1" applyBorder="1" applyAlignment="1">
      <alignment horizontal="left" vertical="center"/>
    </xf>
    <xf numFmtId="0" fontId="9" fillId="0" borderId="7" xfId="0" applyFont="1" applyBorder="1" applyAlignment="1">
      <alignment horizontal="left" vertical="center"/>
    </xf>
    <xf numFmtId="0" fontId="9" fillId="0" borderId="77" xfId="0" applyFont="1" applyBorder="1" applyAlignment="1">
      <alignment horizontal="left" vertical="center"/>
    </xf>
    <xf numFmtId="0" fontId="9" fillId="0" borderId="80" xfId="78" applyFont="1" applyBorder="1" applyAlignment="1">
      <alignment horizontal="center" vertical="center"/>
    </xf>
    <xf numFmtId="0" fontId="0" fillId="0" borderId="8" xfId="0" applyBorder="1" applyAlignment="1">
      <alignment horizontal="center" vertical="center"/>
    </xf>
    <xf numFmtId="0" fontId="5" fillId="0" borderId="32" xfId="78" quotePrefix="1" applyFont="1" applyBorder="1" applyAlignment="1">
      <alignment horizontal="left" vertical="top" wrapText="1"/>
    </xf>
    <xf numFmtId="0" fontId="5" fillId="0" borderId="7" xfId="78" quotePrefix="1" applyFont="1" applyBorder="1"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20" xfId="0" applyBorder="1" applyAlignment="1">
      <alignment horizontal="left" vertical="top" wrapText="1"/>
    </xf>
    <xf numFmtId="0" fontId="0" fillId="0" borderId="2" xfId="0" applyBorder="1" applyAlignment="1">
      <alignment horizontal="left" vertical="top" wrapText="1"/>
    </xf>
    <xf numFmtId="0" fontId="5" fillId="0" borderId="1" xfId="78" applyFont="1" applyBorder="1" applyAlignment="1">
      <alignment horizontal="left" vertical="center"/>
    </xf>
    <xf numFmtId="0" fontId="5" fillId="0" borderId="81" xfId="78" applyFont="1" applyBorder="1" applyAlignment="1">
      <alignment horizontal="left" vertical="center"/>
    </xf>
    <xf numFmtId="0" fontId="5" fillId="0" borderId="81" xfId="78" applyFont="1" applyBorder="1" applyAlignment="1">
      <alignment horizontal="center" vertical="center"/>
    </xf>
    <xf numFmtId="0" fontId="0" fillId="0" borderId="0" xfId="0" applyAlignment="1">
      <alignment horizontal="center" vertical="center"/>
    </xf>
    <xf numFmtId="0" fontId="5" fillId="0" borderId="14" xfId="78" applyFont="1" applyBorder="1" applyAlignment="1">
      <alignment horizontal="left" vertical="center"/>
    </xf>
    <xf numFmtId="0" fontId="0" fillId="0" borderId="13" xfId="0" applyBorder="1" applyAlignment="1">
      <alignment horizontal="left" vertical="center"/>
    </xf>
    <xf numFmtId="0" fontId="0" fillId="0" borderId="128" xfId="0" applyBorder="1" applyAlignment="1">
      <alignment horizontal="left" vertical="center"/>
    </xf>
    <xf numFmtId="0" fontId="5" fillId="0" borderId="129" xfId="78" applyFont="1" applyBorder="1" applyAlignment="1">
      <alignment horizontal="left" vertical="center"/>
    </xf>
    <xf numFmtId="0" fontId="5" fillId="0" borderId="129" xfId="78" applyFont="1" applyBorder="1" applyAlignment="1">
      <alignment horizontal="center" vertical="center"/>
    </xf>
    <xf numFmtId="0" fontId="0" fillId="0" borderId="13" xfId="0" applyBorder="1" applyAlignment="1">
      <alignment horizontal="center" vertical="center"/>
    </xf>
    <xf numFmtId="0" fontId="9" fillId="0" borderId="0" xfId="78" applyFont="1" applyAlignment="1">
      <alignment horizontal="left" vertical="center"/>
    </xf>
    <xf numFmtId="0" fontId="9" fillId="0" borderId="0" xfId="78" applyFont="1" applyAlignment="1">
      <alignment horizontal="center" vertical="center"/>
    </xf>
    <xf numFmtId="0" fontId="5" fillId="0" borderId="7" xfId="78" applyFont="1" applyBorder="1" applyAlignment="1">
      <alignment horizontal="left" vertical="center"/>
    </xf>
    <xf numFmtId="0" fontId="5" fillId="0" borderId="77" xfId="78" applyFont="1" applyBorder="1" applyAlignment="1">
      <alignment horizontal="left" vertical="center"/>
    </xf>
    <xf numFmtId="49" fontId="5" fillId="0" borderId="80" xfId="78" quotePrefix="1" applyNumberFormat="1" applyFont="1" applyBorder="1" applyAlignment="1">
      <alignment horizontal="left" vertical="center"/>
    </xf>
    <xf numFmtId="49" fontId="5" fillId="0" borderId="7" xfId="78" applyNumberFormat="1" applyFont="1" applyBorder="1" applyAlignment="1">
      <alignment horizontal="left" vertical="center"/>
    </xf>
    <xf numFmtId="49" fontId="5" fillId="0" borderId="77" xfId="78" applyNumberFormat="1" applyFont="1" applyBorder="1" applyAlignment="1">
      <alignment horizontal="left" vertical="center"/>
    </xf>
    <xf numFmtId="0" fontId="5" fillId="0" borderId="0" xfId="78" applyFont="1" applyAlignment="1">
      <alignment horizontal="left" vertical="center"/>
    </xf>
    <xf numFmtId="0" fontId="5" fillId="0" borderId="78" xfId="78" applyFont="1" applyBorder="1" applyAlignment="1">
      <alignment horizontal="left" vertical="center"/>
    </xf>
    <xf numFmtId="0" fontId="5" fillId="0" borderId="0" xfId="78" quotePrefix="1" applyFont="1" applyAlignment="1">
      <alignment horizontal="left" vertical="center"/>
    </xf>
    <xf numFmtId="14" fontId="5" fillId="0" borderId="24" xfId="78" applyNumberFormat="1" applyFont="1" applyBorder="1" applyAlignment="1">
      <alignment horizontal="center" vertical="center"/>
    </xf>
    <xf numFmtId="14" fontId="5" fillId="0" borderId="25" xfId="78" applyNumberFormat="1" applyFont="1" applyBorder="1" applyAlignment="1">
      <alignment horizontal="center" vertical="center"/>
    </xf>
    <xf numFmtId="165" fontId="5" fillId="0" borderId="24" xfId="78" applyNumberFormat="1" applyFont="1" applyBorder="1" applyAlignment="1">
      <alignment horizontal="center" vertical="center"/>
    </xf>
    <xf numFmtId="165" fontId="5" fillId="0" borderId="25" xfId="78" applyNumberFormat="1" applyFont="1" applyBorder="1" applyAlignment="1">
      <alignment horizontal="center" vertical="center"/>
    </xf>
    <xf numFmtId="0" fontId="0" fillId="0" borderId="25" xfId="0" applyBorder="1" applyAlignment="1">
      <alignment horizontal="center" vertical="center"/>
    </xf>
    <xf numFmtId="165" fontId="0" fillId="0" borderId="25" xfId="0" applyNumberFormat="1" applyBorder="1" applyAlignment="1">
      <alignment horizontal="center" vertical="center"/>
    </xf>
    <xf numFmtId="0" fontId="5" fillId="0" borderId="13" xfId="78" quotePrefix="1" applyFont="1" applyBorder="1" applyAlignment="1">
      <alignment horizontal="left" vertical="center"/>
    </xf>
    <xf numFmtId="0" fontId="5" fillId="0" borderId="69" xfId="78" applyFont="1" applyBorder="1" applyAlignment="1">
      <alignment horizontal="left" vertical="center"/>
    </xf>
    <xf numFmtId="0" fontId="0" fillId="0" borderId="66" xfId="0" applyBorder="1" applyAlignment="1">
      <alignment horizontal="left" vertical="center"/>
    </xf>
    <xf numFmtId="0" fontId="0" fillId="0" borderId="68" xfId="0" applyBorder="1" applyAlignment="1">
      <alignment horizontal="left" vertical="center"/>
    </xf>
    <xf numFmtId="0" fontId="18" fillId="0" borderId="66" xfId="78" quotePrefix="1" applyFont="1" applyBorder="1" applyAlignment="1">
      <alignment horizontal="left" vertical="center"/>
    </xf>
    <xf numFmtId="0" fontId="18" fillId="0" borderId="68" xfId="78" quotePrefix="1" applyFont="1" applyBorder="1" applyAlignment="1">
      <alignment horizontal="left" vertical="center"/>
    </xf>
    <xf numFmtId="0" fontId="5" fillId="0" borderId="2" xfId="78" applyFont="1" applyBorder="1" applyAlignment="1">
      <alignment horizontal="center" vertical="center"/>
    </xf>
    <xf numFmtId="49" fontId="5" fillId="0" borderId="81" xfId="78" quotePrefix="1" applyNumberFormat="1" applyFont="1" applyBorder="1" applyAlignment="1">
      <alignment horizontal="left" vertical="center"/>
    </xf>
    <xf numFmtId="49" fontId="5" fillId="0" borderId="0" xfId="78" applyNumberFormat="1" applyFont="1" applyAlignment="1">
      <alignment horizontal="left" vertical="center"/>
    </xf>
    <xf numFmtId="49" fontId="5" fillId="0" borderId="78" xfId="78" applyNumberFormat="1" applyFont="1" applyBorder="1" applyAlignment="1">
      <alignment horizontal="left" vertical="center"/>
    </xf>
    <xf numFmtId="0" fontId="5" fillId="0" borderId="90" xfId="78" applyFont="1" applyBorder="1" applyAlignment="1">
      <alignment horizontal="left" vertical="center"/>
    </xf>
    <xf numFmtId="0" fontId="5" fillId="0" borderId="91" xfId="78" applyFont="1" applyBorder="1" applyAlignment="1">
      <alignment horizontal="left" vertical="center"/>
    </xf>
    <xf numFmtId="0" fontId="5" fillId="0" borderId="92" xfId="78" applyFont="1" applyBorder="1" applyAlignment="1">
      <alignment horizontal="left" vertical="center"/>
    </xf>
    <xf numFmtId="0" fontId="7" fillId="0" borderId="30" xfId="0" applyFont="1" applyBorder="1" applyAlignment="1">
      <alignment vertical="center" wrapText="1"/>
    </xf>
    <xf numFmtId="0" fontId="7" fillId="0" borderId="4" xfId="0" applyFont="1" applyBorder="1" applyAlignment="1">
      <alignment vertical="center" wrapText="1"/>
    </xf>
    <xf numFmtId="0" fontId="7" fillId="0" borderId="9" xfId="78" applyFont="1" applyBorder="1" applyAlignment="1">
      <alignment horizontal="center" vertical="center" wrapText="1"/>
    </xf>
    <xf numFmtId="0" fontId="0" fillId="0" borderId="10"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vertical="center"/>
    </xf>
    <xf numFmtId="0" fontId="0" fillId="0" borderId="81" xfId="0" applyBorder="1" applyAlignment="1">
      <alignment horizontal="center" vertical="center"/>
    </xf>
    <xf numFmtId="0" fontId="0" fillId="0" borderId="2" xfId="0" applyBorder="1" applyAlignment="1">
      <alignment vertical="center"/>
    </xf>
    <xf numFmtId="0" fontId="9" fillId="0" borderId="6" xfId="78" applyFont="1" applyBorder="1" applyAlignment="1">
      <alignment horizontal="left" vertical="center"/>
    </xf>
    <xf numFmtId="49" fontId="5" fillId="0" borderId="34" xfId="78" applyNumberFormat="1" applyFont="1" applyBorder="1" applyAlignment="1">
      <alignment horizontal="center" vertical="center"/>
    </xf>
    <xf numFmtId="49" fontId="5" fillId="0" borderId="33" xfId="78" applyNumberFormat="1" applyFont="1" applyBorder="1" applyAlignment="1">
      <alignment horizontal="center" vertical="center"/>
    </xf>
    <xf numFmtId="0" fontId="7" fillId="0" borderId="27" xfId="78" applyFont="1" applyBorder="1" applyAlignment="1">
      <alignment horizontal="center" vertical="center"/>
    </xf>
    <xf numFmtId="0" fontId="0" fillId="0" borderId="26" xfId="0" applyBorder="1" applyAlignment="1">
      <alignment horizontal="center" vertical="center"/>
    </xf>
    <xf numFmtId="0" fontId="7" fillId="0" borderId="87" xfId="78" applyFont="1" applyBorder="1" applyAlignment="1">
      <alignment horizontal="center" vertical="center"/>
    </xf>
    <xf numFmtId="0" fontId="0" fillId="0" borderId="88" xfId="0" applyBorder="1" applyAlignment="1">
      <alignment horizontal="center" vertical="center"/>
    </xf>
    <xf numFmtId="0" fontId="7" fillId="0" borderId="26" xfId="78" applyFont="1" applyBorder="1" applyAlignment="1">
      <alignment horizontal="center" vertical="center"/>
    </xf>
    <xf numFmtId="0" fontId="0" fillId="0" borderId="26" xfId="0" applyBorder="1" applyAlignment="1">
      <alignment vertical="center"/>
    </xf>
    <xf numFmtId="0" fontId="7" fillId="0" borderId="26" xfId="0" applyFont="1" applyBorder="1" applyAlignment="1">
      <alignment horizontal="center" vertical="center"/>
    </xf>
    <xf numFmtId="0" fontId="7" fillId="0" borderId="22" xfId="0" applyFont="1" applyBorder="1" applyAlignment="1">
      <alignment horizontal="center" vertical="center"/>
    </xf>
    <xf numFmtId="0" fontId="7" fillId="0" borderId="3" xfId="0" applyFont="1" applyBorder="1" applyAlignment="1">
      <alignment horizontal="center" vertical="center"/>
    </xf>
    <xf numFmtId="0" fontId="7" fillId="0" borderId="4" xfId="0" applyFont="1" applyBorder="1" applyAlignment="1">
      <alignment horizontal="center" vertical="center"/>
    </xf>
    <xf numFmtId="0" fontId="7" fillId="0" borderId="28" xfId="0" applyFont="1" applyBorder="1" applyAlignment="1">
      <alignment horizontal="center" vertical="center"/>
    </xf>
    <xf numFmtId="0" fontId="5" fillId="0" borderId="103" xfId="78" applyFont="1" applyBorder="1" applyAlignment="1">
      <alignment horizontal="left" vertical="center"/>
    </xf>
    <xf numFmtId="0" fontId="0" fillId="0" borderId="104" xfId="0" applyBorder="1" applyAlignment="1">
      <alignment horizontal="left" vertical="center"/>
    </xf>
    <xf numFmtId="0" fontId="0" fillId="0" borderId="75" xfId="0" applyBorder="1" applyAlignment="1">
      <alignment horizontal="left" vertical="center"/>
    </xf>
    <xf numFmtId="0" fontId="5" fillId="0" borderId="76" xfId="78" applyFont="1" applyBorder="1" applyAlignment="1">
      <alignment horizontal="center" vertical="center"/>
    </xf>
    <xf numFmtId="0" fontId="0" fillId="0" borderId="105" xfId="0" applyBorder="1" applyAlignment="1">
      <alignment horizontal="center" vertical="center"/>
    </xf>
    <xf numFmtId="0" fontId="5" fillId="0" borderId="7" xfId="0" applyFont="1" applyBorder="1" applyAlignment="1">
      <alignment horizontal="left" vertical="center"/>
    </xf>
    <xf numFmtId="0" fontId="5" fillId="0" borderId="77" xfId="0" applyFont="1" applyBorder="1" applyAlignment="1">
      <alignment horizontal="left" vertical="center"/>
    </xf>
    <xf numFmtId="0" fontId="5" fillId="0" borderId="7" xfId="78" applyFont="1" applyBorder="1" applyAlignment="1">
      <alignment horizontal="center" vertical="center"/>
    </xf>
    <xf numFmtId="0" fontId="5" fillId="0" borderId="0" xfId="78" applyFont="1" applyAlignment="1">
      <alignment horizontal="center" vertical="center"/>
    </xf>
    <xf numFmtId="0" fontId="5" fillId="0" borderId="100" xfId="78" applyFont="1" applyBorder="1" applyAlignment="1">
      <alignment horizontal="left" vertical="center"/>
    </xf>
    <xf numFmtId="0" fontId="0" fillId="0" borderId="101" xfId="0" applyBorder="1" applyAlignment="1">
      <alignment horizontal="left" vertical="center"/>
    </xf>
    <xf numFmtId="0" fontId="0" fillId="0" borderId="50" xfId="0" applyBorder="1" applyAlignment="1">
      <alignment horizontal="left" vertical="center"/>
    </xf>
    <xf numFmtId="0" fontId="7" fillId="0" borderId="26" xfId="78" applyFont="1" applyBorder="1" applyAlignment="1">
      <alignment horizontal="center" vertical="center" wrapText="1"/>
    </xf>
    <xf numFmtId="0" fontId="8" fillId="0" borderId="20" xfId="0" applyFont="1" applyBorder="1" applyAlignment="1">
      <alignment horizontal="right" vertical="center" textRotation="90"/>
    </xf>
    <xf numFmtId="0" fontId="0" fillId="0" borderId="20" xfId="0" applyBorder="1" applyAlignment="1">
      <alignment vertical="center"/>
    </xf>
    <xf numFmtId="0" fontId="8" fillId="0" borderId="0" xfId="0" applyFont="1" applyAlignment="1">
      <alignment horizontal="center"/>
    </xf>
    <xf numFmtId="0" fontId="0" fillId="0" borderId="0" xfId="0"/>
    <xf numFmtId="1" fontId="9" fillId="0" borderId="76" xfId="0" applyNumberFormat="1" applyFont="1" applyBorder="1" applyAlignment="1">
      <alignment horizontal="center" vertical="center" wrapText="1"/>
    </xf>
    <xf numFmtId="0" fontId="0" fillId="0" borderId="104" xfId="0" applyBorder="1" applyAlignment="1">
      <alignment horizontal="center" vertical="center" wrapText="1"/>
    </xf>
    <xf numFmtId="0" fontId="0" fillId="0" borderId="75" xfId="0" applyBorder="1" applyAlignment="1">
      <alignment horizontal="center" vertical="center" wrapText="1"/>
    </xf>
    <xf numFmtId="0" fontId="0" fillId="0" borderId="81" xfId="0" applyBorder="1" applyAlignment="1">
      <alignment horizontal="center" vertical="center" wrapText="1"/>
    </xf>
    <xf numFmtId="0" fontId="0" fillId="0" borderId="0" xfId="0" applyAlignment="1">
      <alignment horizontal="center" vertical="center" wrapText="1"/>
    </xf>
    <xf numFmtId="0" fontId="0" fillId="0" borderId="78" xfId="0" applyBorder="1" applyAlignment="1">
      <alignment horizontal="center" vertical="center" wrapText="1"/>
    </xf>
    <xf numFmtId="0" fontId="0" fillId="0" borderId="49" xfId="0" applyBorder="1" applyAlignment="1">
      <alignment horizontal="center" vertical="center" wrapText="1"/>
    </xf>
    <xf numFmtId="0" fontId="0" fillId="0" borderId="91" xfId="0" applyBorder="1" applyAlignment="1">
      <alignment horizontal="center" vertical="center" wrapText="1"/>
    </xf>
    <xf numFmtId="0" fontId="0" fillId="0" borderId="92" xfId="0" applyBorder="1" applyAlignment="1">
      <alignment horizontal="center" vertical="center" wrapText="1"/>
    </xf>
    <xf numFmtId="0" fontId="0" fillId="0" borderId="0" xfId="0" applyAlignment="1">
      <alignment horizontal="center"/>
    </xf>
    <xf numFmtId="0" fontId="5" fillId="0" borderId="106" xfId="78" applyFont="1" applyBorder="1" applyAlignment="1">
      <alignment horizontal="left" vertical="center"/>
    </xf>
    <xf numFmtId="0" fontId="0" fillId="0" borderId="111" xfId="0" applyBorder="1" applyAlignment="1">
      <alignment vertical="center"/>
    </xf>
    <xf numFmtId="0" fontId="5" fillId="0" borderId="38" xfId="78" applyFont="1" applyBorder="1" applyAlignment="1">
      <alignment horizontal="center" vertical="center"/>
    </xf>
    <xf numFmtId="0" fontId="0" fillId="0" borderId="65" xfId="0" applyBorder="1" applyAlignment="1">
      <alignment horizontal="center" vertical="center"/>
    </xf>
    <xf numFmtId="0" fontId="5" fillId="0" borderId="44" xfId="0" applyFont="1" applyBorder="1" applyAlignment="1">
      <alignment horizontal="center" vertical="center"/>
    </xf>
    <xf numFmtId="0" fontId="5" fillId="0" borderId="66" xfId="0" applyFont="1" applyBorder="1" applyAlignment="1">
      <alignment horizontal="center" vertical="center"/>
    </xf>
    <xf numFmtId="0" fontId="5" fillId="0" borderId="45" xfId="0" applyFont="1" applyBorder="1" applyAlignment="1">
      <alignment horizontal="center" vertical="center"/>
    </xf>
    <xf numFmtId="165" fontId="5" fillId="0" borderId="103" xfId="78" applyNumberFormat="1" applyFont="1" applyBorder="1" applyAlignment="1">
      <alignment horizontal="center" vertical="center" wrapText="1"/>
    </xf>
    <xf numFmtId="0" fontId="0" fillId="0" borderId="1" xfId="0" applyBorder="1" applyAlignment="1">
      <alignment horizontal="center" vertical="center" wrapText="1"/>
    </xf>
    <xf numFmtId="0" fontId="0" fillId="0" borderId="24" xfId="0" applyBorder="1" applyAlignment="1">
      <alignment horizontal="center" vertical="center" wrapText="1"/>
    </xf>
    <xf numFmtId="0" fontId="0" fillId="0" borderId="23" xfId="0" applyBorder="1" applyAlignment="1">
      <alignment horizontal="center" vertical="center" wrapText="1"/>
    </xf>
    <xf numFmtId="0" fontId="0" fillId="0" borderId="127" xfId="0" applyBorder="1" applyAlignment="1">
      <alignment horizontal="center" vertical="center" wrapText="1"/>
    </xf>
    <xf numFmtId="0" fontId="5" fillId="0" borderId="6" xfId="78" applyFont="1" applyBorder="1" applyAlignment="1">
      <alignment horizontal="center" vertical="center" wrapText="1"/>
    </xf>
    <xf numFmtId="0" fontId="0" fillId="0" borderId="7" xfId="0" applyBorder="1" applyAlignment="1">
      <alignment horizontal="center" vertical="center" wrapText="1"/>
    </xf>
    <xf numFmtId="0" fontId="0" fillId="0" borderId="77" xfId="0" applyBorder="1" applyAlignment="1">
      <alignment horizontal="center" vertical="center" wrapText="1"/>
    </xf>
    <xf numFmtId="0" fontId="5" fillId="0" borderId="44" xfId="78" applyFont="1" applyBorder="1" applyAlignment="1">
      <alignment horizontal="left" vertical="center" wrapText="1"/>
    </xf>
    <xf numFmtId="0" fontId="0" fillId="0" borderId="45" xfId="0" applyBorder="1" applyAlignment="1">
      <alignment horizontal="left" vertical="center"/>
    </xf>
    <xf numFmtId="0" fontId="5" fillId="0" borderId="6" xfId="78" applyFont="1" applyBorder="1" applyAlignment="1">
      <alignment vertical="top" wrapText="1"/>
    </xf>
    <xf numFmtId="0" fontId="0" fillId="0" borderId="7" xfId="0" applyBorder="1" applyAlignment="1">
      <alignment vertical="top" wrapText="1"/>
    </xf>
    <xf numFmtId="0" fontId="0" fillId="0" borderId="29" xfId="0" applyBorder="1" applyAlignment="1">
      <alignment vertical="top" wrapText="1"/>
    </xf>
    <xf numFmtId="0" fontId="0" fillId="0" borderId="1" xfId="0" applyBorder="1" applyAlignment="1">
      <alignment vertical="top" wrapText="1"/>
    </xf>
    <xf numFmtId="0" fontId="0" fillId="0" borderId="0" xfId="0" applyAlignment="1">
      <alignment vertical="top" wrapText="1"/>
    </xf>
    <xf numFmtId="0" fontId="0" fillId="0" borderId="19" xfId="0" applyBorder="1" applyAlignment="1">
      <alignment vertical="top" wrapText="1"/>
    </xf>
    <xf numFmtId="0" fontId="5" fillId="0" borderId="6" xfId="78" applyFont="1" applyBorder="1" applyAlignment="1">
      <alignment horizontal="center" vertical="center" textRotation="90" wrapText="1"/>
    </xf>
    <xf numFmtId="0" fontId="0" fillId="0" borderId="1" xfId="0" applyBorder="1" applyAlignment="1">
      <alignment horizontal="center" vertical="center"/>
    </xf>
    <xf numFmtId="0" fontId="0" fillId="0" borderId="3" xfId="0" applyBorder="1" applyAlignment="1">
      <alignment horizontal="center" vertical="center"/>
    </xf>
    <xf numFmtId="0" fontId="5" fillId="0" borderId="58" xfId="78" applyFont="1" applyBorder="1" applyAlignment="1">
      <alignment horizontal="center" vertical="center"/>
    </xf>
    <xf numFmtId="0" fontId="0" fillId="0" borderId="102" xfId="0" applyBorder="1" applyAlignment="1">
      <alignment horizontal="center" vertical="center"/>
    </xf>
    <xf numFmtId="0" fontId="5" fillId="0" borderId="58" xfId="78" applyFont="1" applyBorder="1" applyAlignment="1">
      <alignment horizontal="left" vertical="center"/>
    </xf>
    <xf numFmtId="0" fontId="5" fillId="0" borderId="76" xfId="78" applyFont="1" applyBorder="1" applyAlignment="1">
      <alignment horizontal="left" vertical="center"/>
    </xf>
    <xf numFmtId="0" fontId="5" fillId="0" borderId="102" xfId="78" applyFont="1" applyBorder="1" applyAlignment="1">
      <alignment horizontal="center" vertical="center"/>
    </xf>
    <xf numFmtId="0" fontId="5" fillId="0" borderId="56" xfId="78" applyFont="1" applyBorder="1" applyAlignment="1">
      <alignment horizontal="left" vertical="center"/>
    </xf>
    <xf numFmtId="0" fontId="5" fillId="0" borderId="119" xfId="78" applyFont="1" applyBorder="1" applyAlignment="1">
      <alignment horizontal="left" vertical="center"/>
    </xf>
    <xf numFmtId="0" fontId="0" fillId="0" borderId="119" xfId="0" applyBorder="1" applyAlignment="1">
      <alignment vertical="center"/>
    </xf>
    <xf numFmtId="0" fontId="0" fillId="0" borderId="55" xfId="0" applyBorder="1" applyAlignment="1">
      <alignment vertical="center"/>
    </xf>
    <xf numFmtId="0" fontId="5" fillId="0" borderId="20" xfId="78" applyFont="1" applyBorder="1" applyAlignment="1">
      <alignment horizontal="left" vertical="center"/>
    </xf>
    <xf numFmtId="165" fontId="5" fillId="0" borderId="126" xfId="78" applyNumberFormat="1" applyFont="1" applyBorder="1" applyAlignment="1">
      <alignment horizontal="left" vertical="center"/>
    </xf>
    <xf numFmtId="165" fontId="5" fillId="0" borderId="91" xfId="78" applyNumberFormat="1" applyFont="1" applyBorder="1" applyAlignment="1">
      <alignment horizontal="left" vertical="center"/>
    </xf>
    <xf numFmtId="0" fontId="0" fillId="0" borderId="91" xfId="0" applyBorder="1" applyAlignment="1">
      <alignment vertical="center"/>
    </xf>
    <xf numFmtId="0" fontId="0" fillId="0" borderId="92" xfId="0" applyBorder="1" applyAlignment="1">
      <alignment vertical="center"/>
    </xf>
    <xf numFmtId="165" fontId="5" fillId="0" borderId="20" xfId="78" applyNumberFormat="1" applyFont="1" applyBorder="1" applyAlignment="1">
      <alignment horizontal="left" vertical="center"/>
    </xf>
    <xf numFmtId="165" fontId="5" fillId="0" borderId="0" xfId="78" applyNumberFormat="1" applyFont="1" applyAlignment="1">
      <alignment horizontal="left" vertical="center"/>
    </xf>
    <xf numFmtId="0" fontId="5" fillId="0" borderId="3" xfId="78" applyFont="1" applyBorder="1" applyAlignment="1">
      <alignment horizontal="left" vertical="center"/>
    </xf>
    <xf numFmtId="0" fontId="0" fillId="0" borderId="4" xfId="0" applyBorder="1" applyAlignment="1">
      <alignment horizontal="left" vertical="center"/>
    </xf>
    <xf numFmtId="0" fontId="0" fillId="0" borderId="79" xfId="0" applyBorder="1" applyAlignment="1">
      <alignment horizontal="left" vertical="center"/>
    </xf>
    <xf numFmtId="0" fontId="9" fillId="0" borderId="7" xfId="81" applyBorder="1" applyAlignment="1">
      <alignment horizontal="left" vertical="center"/>
    </xf>
    <xf numFmtId="0" fontId="9" fillId="0" borderId="77" xfId="81" applyBorder="1" applyAlignment="1">
      <alignment horizontal="left" vertical="center"/>
    </xf>
    <xf numFmtId="0" fontId="5" fillId="0" borderId="82" xfId="78" applyFont="1" applyBorder="1" applyAlignment="1">
      <alignment horizontal="center" vertical="center"/>
    </xf>
    <xf numFmtId="0" fontId="0" fillId="0" borderId="5" xfId="0" applyBorder="1" applyAlignment="1">
      <alignment horizontal="center" vertical="center"/>
    </xf>
    <xf numFmtId="0" fontId="5" fillId="0" borderId="82" xfId="78" applyFont="1" applyBorder="1" applyAlignment="1">
      <alignment horizontal="left" vertical="center"/>
    </xf>
    <xf numFmtId="0" fontId="5" fillId="0" borderId="0" xfId="0" applyFont="1" applyAlignment="1">
      <alignment horizontal="left" vertical="center"/>
    </xf>
    <xf numFmtId="0" fontId="5" fillId="0" borderId="78" xfId="0" applyFont="1" applyBorder="1" applyAlignment="1">
      <alignment horizontal="left" vertical="center"/>
    </xf>
    <xf numFmtId="0" fontId="5" fillId="0" borderId="105" xfId="78" applyFont="1" applyBorder="1" applyAlignment="1">
      <alignment horizontal="center" vertical="center"/>
    </xf>
    <xf numFmtId="0" fontId="9" fillId="0" borderId="8" xfId="81" applyBorder="1" applyAlignment="1">
      <alignment horizontal="center" vertical="center"/>
    </xf>
    <xf numFmtId="0" fontId="9" fillId="0" borderId="0" xfId="81" applyAlignment="1">
      <alignment horizontal="left" vertical="center"/>
    </xf>
    <xf numFmtId="0" fontId="9" fillId="0" borderId="78" xfId="81" applyBorder="1" applyAlignment="1">
      <alignment horizontal="left" vertical="center"/>
    </xf>
    <xf numFmtId="0" fontId="9" fillId="0" borderId="2" xfId="81" applyBorder="1" applyAlignment="1">
      <alignment horizontal="center" vertical="center"/>
    </xf>
    <xf numFmtId="0" fontId="9" fillId="0" borderId="7" xfId="79" applyBorder="1" applyAlignment="1">
      <alignment horizontal="left" vertical="center"/>
    </xf>
    <xf numFmtId="0" fontId="9" fillId="0" borderId="77" xfId="79" applyBorder="1" applyAlignment="1">
      <alignment horizontal="left" vertical="center"/>
    </xf>
    <xf numFmtId="0" fontId="5" fillId="22" borderId="7" xfId="81" applyFont="1" applyFill="1" applyBorder="1" applyAlignment="1">
      <alignment horizontal="left" vertical="center"/>
    </xf>
    <xf numFmtId="0" fontId="5" fillId="22" borderId="0" xfId="81" applyFont="1" applyFill="1" applyAlignment="1">
      <alignment horizontal="left" vertical="center"/>
    </xf>
    <xf numFmtId="165" fontId="5" fillId="0" borderId="40" xfId="78" applyNumberFormat="1" applyFont="1" applyBorder="1" applyAlignment="1">
      <alignment horizontal="left" vertical="center"/>
    </xf>
    <xf numFmtId="165" fontId="5" fillId="0" borderId="65" xfId="78" applyNumberFormat="1" applyFont="1" applyBorder="1" applyAlignment="1">
      <alignment horizontal="left" vertical="center"/>
    </xf>
    <xf numFmtId="0" fontId="0" fillId="0" borderId="65" xfId="0" applyBorder="1" applyAlignment="1">
      <alignment vertical="center"/>
    </xf>
    <xf numFmtId="0" fontId="0" fillId="0" borderId="39" xfId="0" applyBorder="1" applyAlignment="1">
      <alignment vertical="center"/>
    </xf>
    <xf numFmtId="165" fontId="5" fillId="0" borderId="69" xfId="78" applyNumberFormat="1" applyFont="1" applyBorder="1" applyAlignment="1">
      <alignment horizontal="center" vertical="center"/>
    </xf>
    <xf numFmtId="0" fontId="0" fillId="0" borderId="66" xfId="0" applyBorder="1" applyAlignment="1">
      <alignment horizontal="center" vertical="center"/>
    </xf>
    <xf numFmtId="0" fontId="0" fillId="0" borderId="67" xfId="0" applyBorder="1" applyAlignment="1">
      <alignment horizontal="center" vertical="center"/>
    </xf>
    <xf numFmtId="0" fontId="5" fillId="22" borderId="3" xfId="78" applyFont="1" applyFill="1" applyBorder="1" applyAlignment="1">
      <alignment vertical="center"/>
    </xf>
    <xf numFmtId="0" fontId="5" fillId="0" borderId="82" xfId="78" quotePrefix="1" applyFont="1" applyBorder="1" applyAlignment="1">
      <alignment horizontal="left" vertical="center"/>
    </xf>
    <xf numFmtId="0" fontId="5" fillId="0" borderId="32" xfId="78" quotePrefix="1" applyFont="1" applyBorder="1" applyAlignment="1">
      <alignment vertical="top" wrapText="1"/>
    </xf>
    <xf numFmtId="0" fontId="5" fillId="0" borderId="7" xfId="78" quotePrefix="1" applyFont="1" applyBorder="1" applyAlignment="1">
      <alignment vertical="top" wrapText="1"/>
    </xf>
    <xf numFmtId="0" fontId="0" fillId="0" borderId="8" xfId="0" applyBorder="1" applyAlignment="1">
      <alignment vertical="top" wrapText="1"/>
    </xf>
    <xf numFmtId="0" fontId="0" fillId="0" borderId="20" xfId="0" applyBorder="1" applyAlignment="1">
      <alignment vertical="top" wrapText="1"/>
    </xf>
    <xf numFmtId="0" fontId="0" fillId="0" borderId="2" xfId="0" applyBorder="1" applyAlignment="1">
      <alignment vertical="top" wrapText="1"/>
    </xf>
    <xf numFmtId="0" fontId="5" fillId="0" borderId="82" xfId="78" quotePrefix="1" applyFont="1" applyBorder="1" applyAlignment="1">
      <alignment horizontal="center" vertical="center"/>
    </xf>
    <xf numFmtId="0" fontId="9" fillId="0" borderId="0" xfId="79" applyAlignment="1">
      <alignment vertical="center"/>
    </xf>
    <xf numFmtId="0" fontId="9" fillId="0" borderId="78" xfId="79" applyBorder="1" applyAlignment="1">
      <alignment vertical="center"/>
    </xf>
    <xf numFmtId="0" fontId="9" fillId="0" borderId="111" xfId="79" applyBorder="1" applyAlignment="1">
      <alignment vertical="center"/>
    </xf>
    <xf numFmtId="0" fontId="9" fillId="0" borderId="65" xfId="79" applyBorder="1" applyAlignment="1">
      <alignment horizontal="center" vertical="center"/>
    </xf>
    <xf numFmtId="0" fontId="9" fillId="0" borderId="119" xfId="79" applyBorder="1" applyAlignment="1">
      <alignment vertical="center"/>
    </xf>
    <xf numFmtId="0" fontId="9" fillId="0" borderId="55" xfId="79" applyBorder="1" applyAlignment="1">
      <alignment vertical="center"/>
    </xf>
    <xf numFmtId="0" fontId="0" fillId="0" borderId="110" xfId="0" applyBorder="1" applyAlignment="1">
      <alignment horizontal="center" vertical="center" wrapText="1"/>
    </xf>
    <xf numFmtId="0" fontId="0" fillId="0" borderId="19" xfId="0" applyBorder="1" applyAlignment="1">
      <alignment horizontal="center" vertical="center" wrapText="1"/>
    </xf>
    <xf numFmtId="0" fontId="0" fillId="0" borderId="17" xfId="0" applyBorder="1" applyAlignment="1">
      <alignment horizontal="center" vertical="center" wrapText="1"/>
    </xf>
    <xf numFmtId="0" fontId="5" fillId="0" borderId="80" xfId="78" applyFont="1" applyBorder="1" applyAlignment="1">
      <alignment horizontal="center" vertical="center" wrapText="1"/>
    </xf>
    <xf numFmtId="0" fontId="0" fillId="0" borderId="29" xfId="0" applyBorder="1" applyAlignment="1">
      <alignment horizontal="center" vertical="center" wrapText="1"/>
    </xf>
    <xf numFmtId="0" fontId="0" fillId="0" borderId="99" xfId="0" applyBorder="1" applyAlignment="1">
      <alignment horizontal="center" vertical="center" wrapText="1"/>
    </xf>
    <xf numFmtId="0" fontId="9" fillId="0" borderId="91" xfId="79" applyBorder="1" applyAlignment="1">
      <alignment vertical="center"/>
    </xf>
    <xf numFmtId="0" fontId="9" fillId="0" borderId="92" xfId="79" applyBorder="1" applyAlignment="1">
      <alignment vertical="center"/>
    </xf>
    <xf numFmtId="0" fontId="9" fillId="0" borderId="65" xfId="79" applyBorder="1" applyAlignment="1">
      <alignment vertical="center"/>
    </xf>
    <xf numFmtId="0" fontId="9" fillId="0" borderId="39" xfId="79" applyBorder="1" applyAlignment="1">
      <alignment vertical="center"/>
    </xf>
    <xf numFmtId="0" fontId="9" fillId="0" borderId="26" xfId="79" applyBorder="1" applyAlignment="1">
      <alignment horizontal="center" vertical="center"/>
    </xf>
    <xf numFmtId="0" fontId="9" fillId="0" borderId="3" xfId="79" applyBorder="1" applyAlignment="1">
      <alignment vertical="center"/>
    </xf>
    <xf numFmtId="0" fontId="9" fillId="0" borderId="4" xfId="79" applyBorder="1" applyAlignment="1">
      <alignment vertical="center"/>
    </xf>
    <xf numFmtId="0" fontId="9" fillId="0" borderId="88" xfId="79" applyBorder="1" applyAlignment="1">
      <alignment horizontal="center" vertical="center"/>
    </xf>
    <xf numFmtId="0" fontId="9" fillId="0" borderId="82" xfId="79" applyBorder="1" applyAlignment="1">
      <alignment vertical="center"/>
    </xf>
    <xf numFmtId="0" fontId="9" fillId="0" borderId="79" xfId="79" applyBorder="1" applyAlignment="1">
      <alignment vertical="center"/>
    </xf>
    <xf numFmtId="0" fontId="8" fillId="0" borderId="0" xfId="79" applyFont="1" applyAlignment="1">
      <alignment horizontal="center"/>
    </xf>
    <xf numFmtId="0" fontId="7" fillId="0" borderId="26" xfId="79" applyFont="1" applyBorder="1" applyAlignment="1">
      <alignment horizontal="center" vertical="center"/>
    </xf>
    <xf numFmtId="0" fontId="7" fillId="0" borderId="22" xfId="79" applyFont="1" applyBorder="1" applyAlignment="1">
      <alignment horizontal="center" vertical="center"/>
    </xf>
    <xf numFmtId="0" fontId="7" fillId="0" borderId="3" xfId="79" applyFont="1" applyBorder="1" applyAlignment="1">
      <alignment horizontal="center" vertical="center"/>
    </xf>
    <xf numFmtId="0" fontId="7" fillId="0" borderId="4" xfId="79" applyFont="1" applyBorder="1" applyAlignment="1">
      <alignment horizontal="center" vertical="center"/>
    </xf>
    <xf numFmtId="0" fontId="7" fillId="0" borderId="28" xfId="79" applyFont="1" applyBorder="1" applyAlignment="1">
      <alignment horizontal="center" vertical="center"/>
    </xf>
    <xf numFmtId="0" fontId="9" fillId="0" borderId="0" xfId="79" applyAlignment="1">
      <alignment horizontal="center"/>
    </xf>
    <xf numFmtId="0" fontId="9" fillId="0" borderId="7" xfId="79" applyBorder="1" applyAlignment="1">
      <alignment horizontal="center" vertical="center"/>
    </xf>
    <xf numFmtId="0" fontId="8" fillId="0" borderId="20" xfId="79" applyFont="1" applyBorder="1" applyAlignment="1">
      <alignment horizontal="right" vertical="center" textRotation="90"/>
    </xf>
    <xf numFmtId="0" fontId="9" fillId="0" borderId="0" xfId="79" applyAlignment="1">
      <alignment horizontal="left" vertical="center"/>
    </xf>
    <xf numFmtId="0" fontId="9" fillId="0" borderId="78" xfId="79" applyBorder="1" applyAlignment="1">
      <alignment horizontal="left" vertical="center"/>
    </xf>
    <xf numFmtId="0" fontId="9" fillId="0" borderId="2" xfId="79" applyBorder="1" applyAlignment="1">
      <alignment horizontal="center" vertical="center"/>
    </xf>
    <xf numFmtId="0" fontId="9" fillId="0" borderId="26" xfId="79" applyBorder="1" applyAlignment="1">
      <alignment vertical="center"/>
    </xf>
    <xf numFmtId="0" fontId="9" fillId="0" borderId="8" xfId="79" applyBorder="1" applyAlignment="1">
      <alignment horizontal="center" vertical="center"/>
    </xf>
    <xf numFmtId="0" fontId="5" fillId="0" borderId="80" xfId="78" quotePrefix="1" applyFont="1" applyBorder="1" applyAlignment="1">
      <alignment horizontal="center" vertical="center"/>
    </xf>
    <xf numFmtId="0" fontId="9" fillId="0" borderId="0" xfId="79" applyAlignment="1">
      <alignment horizontal="center" vertical="center"/>
    </xf>
    <xf numFmtId="0" fontId="9" fillId="0" borderId="13" xfId="79" applyBorder="1" applyAlignment="1">
      <alignment horizontal="left" vertical="center"/>
    </xf>
    <xf numFmtId="0" fontId="9" fillId="0" borderId="128" xfId="79" applyBorder="1" applyAlignment="1">
      <alignment horizontal="left" vertical="center"/>
    </xf>
    <xf numFmtId="0" fontId="9" fillId="0" borderId="13" xfId="79" applyBorder="1" applyAlignment="1">
      <alignment horizontal="center" vertical="center"/>
    </xf>
    <xf numFmtId="49" fontId="5" fillId="0" borderId="0" xfId="78" quotePrefix="1" applyNumberFormat="1" applyFont="1" applyAlignment="1">
      <alignment horizontal="left" vertical="center"/>
    </xf>
    <xf numFmtId="49" fontId="5" fillId="0" borderId="78" xfId="78" quotePrefix="1" applyNumberFormat="1" applyFont="1" applyBorder="1" applyAlignment="1">
      <alignment horizontal="left" vertical="center"/>
    </xf>
    <xf numFmtId="0" fontId="9" fillId="0" borderId="7" xfId="79" applyBorder="1" applyAlignment="1">
      <alignment vertical="top" wrapText="1"/>
    </xf>
    <xf numFmtId="0" fontId="9" fillId="0" borderId="8" xfId="79" applyBorder="1" applyAlignment="1">
      <alignment vertical="top" wrapText="1"/>
    </xf>
    <xf numFmtId="0" fontId="9" fillId="0" borderId="20" xfId="79" applyBorder="1" applyAlignment="1">
      <alignment vertical="top" wrapText="1"/>
    </xf>
    <xf numFmtId="0" fontId="9" fillId="0" borderId="0" xfId="79" applyAlignment="1">
      <alignment vertical="top" wrapText="1"/>
    </xf>
    <xf numFmtId="0" fontId="9" fillId="0" borderId="2" xfId="79" applyBorder="1" applyAlignment="1">
      <alignment vertical="top" wrapText="1"/>
    </xf>
    <xf numFmtId="0" fontId="9" fillId="0" borderId="30" xfId="79" applyBorder="1" applyAlignment="1">
      <alignment vertical="top" wrapText="1"/>
    </xf>
    <xf numFmtId="0" fontId="9" fillId="0" borderId="4" xfId="79" applyBorder="1" applyAlignment="1">
      <alignment vertical="top" wrapText="1"/>
    </xf>
    <xf numFmtId="0" fontId="9" fillId="0" borderId="5" xfId="79" applyBorder="1" applyAlignment="1">
      <alignment vertical="top" wrapText="1"/>
    </xf>
    <xf numFmtId="0" fontId="9" fillId="0" borderId="66" xfId="79" applyBorder="1" applyAlignment="1">
      <alignment horizontal="left" vertical="center"/>
    </xf>
    <xf numFmtId="0" fontId="9" fillId="0" borderId="68" xfId="79" applyBorder="1" applyAlignment="1">
      <alignment horizontal="left" vertical="center"/>
    </xf>
    <xf numFmtId="0" fontId="5" fillId="0" borderId="66" xfId="78" quotePrefix="1" applyFont="1" applyBorder="1" applyAlignment="1">
      <alignment horizontal="left" vertical="center"/>
    </xf>
    <xf numFmtId="0" fontId="5" fillId="0" borderId="68" xfId="78" quotePrefix="1" applyFont="1" applyBorder="1" applyAlignment="1">
      <alignment horizontal="left" vertical="center"/>
    </xf>
    <xf numFmtId="0" fontId="17" fillId="0" borderId="6" xfId="78" applyBorder="1" applyAlignment="1">
      <alignment vertical="center"/>
    </xf>
    <xf numFmtId="0" fontId="9" fillId="0" borderId="25" xfId="79" applyBorder="1" applyAlignment="1">
      <alignment horizontal="center" vertical="center"/>
    </xf>
    <xf numFmtId="165" fontId="9" fillId="0" borderId="25" xfId="79" applyNumberFormat="1" applyBorder="1" applyAlignment="1">
      <alignment horizontal="center" vertical="center"/>
    </xf>
    <xf numFmtId="0" fontId="5" fillId="0" borderId="1" xfId="78" quotePrefix="1" applyFont="1" applyBorder="1" applyAlignment="1">
      <alignment horizontal="left" vertical="center"/>
    </xf>
    <xf numFmtId="0" fontId="5" fillId="0" borderId="81" xfId="78" quotePrefix="1" applyFont="1" applyBorder="1" applyAlignment="1">
      <alignment horizontal="left" vertical="center"/>
    </xf>
    <xf numFmtId="0" fontId="5" fillId="0" borderId="5" xfId="78" applyFont="1" applyBorder="1" applyAlignment="1">
      <alignment horizontal="center" vertical="center"/>
    </xf>
    <xf numFmtId="0" fontId="0" fillId="0" borderId="45" xfId="0" applyBorder="1" applyAlignment="1">
      <alignment horizontal="center" vertical="center"/>
    </xf>
    <xf numFmtId="0" fontId="0" fillId="0" borderId="104" xfId="0" applyBorder="1" applyAlignment="1">
      <alignment vertical="center"/>
    </xf>
    <xf numFmtId="0" fontId="0" fillId="0" borderId="105" xfId="0" applyBorder="1" applyAlignment="1">
      <alignment vertical="center"/>
    </xf>
    <xf numFmtId="0" fontId="5" fillId="0" borderId="81" xfId="0" applyFont="1" applyBorder="1" applyAlignment="1">
      <alignment horizontal="center" vertical="center"/>
    </xf>
    <xf numFmtId="0" fontId="5" fillId="0" borderId="0" xfId="0" applyFont="1" applyAlignment="1">
      <alignment horizontal="center" vertical="center"/>
    </xf>
    <xf numFmtId="0" fontId="5" fillId="0" borderId="19" xfId="0" applyFont="1" applyBorder="1" applyAlignment="1">
      <alignment horizontal="center" vertical="center"/>
    </xf>
    <xf numFmtId="0" fontId="5" fillId="0" borderId="99" xfId="0" applyFont="1" applyBorder="1" applyAlignment="1">
      <alignment horizontal="center" vertical="center"/>
    </xf>
    <xf numFmtId="0" fontId="5" fillId="0" borderId="23" xfId="0" applyFont="1" applyBorder="1" applyAlignment="1">
      <alignment horizontal="center" vertical="center"/>
    </xf>
    <xf numFmtId="0" fontId="5" fillId="0" borderId="17" xfId="0" applyFont="1" applyBorder="1" applyAlignment="1">
      <alignment horizontal="center" vertical="center"/>
    </xf>
    <xf numFmtId="0" fontId="5" fillId="0" borderId="0" xfId="0" applyFont="1" applyAlignment="1">
      <alignment vertical="center"/>
    </xf>
    <xf numFmtId="0" fontId="5" fillId="0" borderId="19" xfId="0" applyFont="1" applyBorder="1" applyAlignment="1">
      <alignment vertical="center"/>
    </xf>
    <xf numFmtId="0" fontId="5" fillId="0" borderId="99" xfId="0" applyFont="1" applyBorder="1" applyAlignment="1">
      <alignment vertical="center"/>
    </xf>
    <xf numFmtId="0" fontId="5" fillId="0" borderId="23" xfId="0" applyFont="1" applyBorder="1" applyAlignment="1">
      <alignment vertical="center"/>
    </xf>
    <xf numFmtId="0" fontId="5" fillId="0" borderId="17" xfId="0" applyFont="1" applyBorder="1" applyAlignment="1">
      <alignment vertical="center"/>
    </xf>
    <xf numFmtId="0" fontId="5" fillId="0" borderId="1" xfId="78" applyFont="1" applyBorder="1" applyAlignment="1">
      <alignment vertical="center"/>
    </xf>
    <xf numFmtId="0" fontId="0" fillId="0" borderId="19" xfId="0" applyBorder="1" applyAlignment="1">
      <alignment vertical="center"/>
    </xf>
    <xf numFmtId="0" fontId="0" fillId="0" borderId="20" xfId="0" applyBorder="1" applyAlignment="1">
      <alignment horizontal="right" vertical="center" textRotation="90"/>
    </xf>
    <xf numFmtId="0" fontId="5" fillId="0" borderId="6" xfId="78" applyFont="1" applyBorder="1" applyAlignment="1">
      <alignment vertical="center"/>
    </xf>
    <xf numFmtId="0" fontId="0" fillId="0" borderId="29" xfId="0" applyBorder="1" applyAlignment="1">
      <alignment vertical="center"/>
    </xf>
    <xf numFmtId="0" fontId="5" fillId="0" borderId="6" xfId="78" applyFont="1" applyBorder="1" applyAlignment="1">
      <alignment vertical="center" wrapText="1"/>
    </xf>
    <xf numFmtId="0" fontId="0" fillId="0" borderId="7" xfId="0" applyBorder="1" applyAlignment="1">
      <alignment vertical="center" wrapText="1"/>
    </xf>
    <xf numFmtId="0" fontId="0" fillId="0" borderId="29" xfId="0"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0" fillId="0" borderId="1" xfId="0" applyBorder="1" applyAlignment="1">
      <alignment horizontal="center" vertical="center" textRotation="90" wrapText="1"/>
    </xf>
    <xf numFmtId="0" fontId="0" fillId="0" borderId="3" xfId="0" applyBorder="1" applyAlignment="1">
      <alignment horizontal="center" vertical="center" wrapText="1"/>
    </xf>
    <xf numFmtId="0" fontId="0" fillId="0" borderId="5" xfId="0" applyBorder="1" applyAlignment="1">
      <alignment horizontal="left" vertical="center"/>
    </xf>
    <xf numFmtId="0" fontId="5" fillId="0" borderId="38" xfId="0" applyFont="1" applyBorder="1" applyAlignment="1">
      <alignment horizontal="center" vertical="center"/>
    </xf>
    <xf numFmtId="0" fontId="0" fillId="0" borderId="111" xfId="0" applyBorder="1" applyAlignment="1">
      <alignment horizontal="center" vertical="center"/>
    </xf>
    <xf numFmtId="2" fontId="5" fillId="0" borderId="69" xfId="78" applyNumberFormat="1" applyFont="1" applyBorder="1" applyAlignment="1">
      <alignment horizontal="center" vertical="center"/>
    </xf>
    <xf numFmtId="165" fontId="5" fillId="0" borderId="76" xfId="78" applyNumberFormat="1" applyFont="1" applyBorder="1" applyAlignment="1">
      <alignment horizontal="center" vertical="center"/>
    </xf>
    <xf numFmtId="0" fontId="0" fillId="0" borderId="104" xfId="0" applyBorder="1" applyAlignment="1">
      <alignment horizontal="center" vertical="center"/>
    </xf>
    <xf numFmtId="0" fontId="0" fillId="0" borderId="110" xfId="0" applyBorder="1" applyAlignment="1">
      <alignment horizontal="center" vertical="center"/>
    </xf>
    <xf numFmtId="0" fontId="0" fillId="0" borderId="19" xfId="0" applyBorder="1" applyAlignment="1">
      <alignment horizontal="center" vertical="center"/>
    </xf>
    <xf numFmtId="0" fontId="0" fillId="0" borderId="99" xfId="0" applyBorder="1" applyAlignment="1">
      <alignment horizontal="center" vertical="center"/>
    </xf>
    <xf numFmtId="0" fontId="0" fillId="0" borderId="23" xfId="0" applyBorder="1" applyAlignment="1">
      <alignment horizontal="center" vertical="center"/>
    </xf>
    <xf numFmtId="0" fontId="0" fillId="0" borderId="17" xfId="0" applyBorder="1" applyAlignment="1">
      <alignment horizontal="center" vertical="center"/>
    </xf>
    <xf numFmtId="165" fontId="5" fillId="0" borderId="81" xfId="78" applyNumberFormat="1" applyFont="1" applyBorder="1" applyAlignment="1">
      <alignment horizontal="center" vertical="center"/>
    </xf>
    <xf numFmtId="0" fontId="0" fillId="0" borderId="99" xfId="0" applyBorder="1" applyAlignment="1">
      <alignment vertical="center"/>
    </xf>
    <xf numFmtId="0" fontId="0" fillId="0" borderId="23" xfId="0" applyBorder="1" applyAlignment="1">
      <alignment vertical="center"/>
    </xf>
    <xf numFmtId="0" fontId="0" fillId="0" borderId="17" xfId="0" applyBorder="1" applyAlignment="1">
      <alignment vertical="center"/>
    </xf>
    <xf numFmtId="165" fontId="5" fillId="0" borderId="66" xfId="78" applyNumberFormat="1" applyFont="1" applyBorder="1" applyAlignment="1">
      <alignment horizontal="center" vertical="center"/>
    </xf>
    <xf numFmtId="165" fontId="5" fillId="0" borderId="45" xfId="78" applyNumberFormat="1" applyFont="1" applyBorder="1" applyAlignment="1">
      <alignment horizontal="center" vertical="center"/>
    </xf>
    <xf numFmtId="0" fontId="5" fillId="0" borderId="69" xfId="78" applyFont="1" applyBorder="1" applyAlignment="1">
      <alignment horizontal="left" vertical="center" wrapText="1"/>
    </xf>
    <xf numFmtId="0" fontId="5" fillId="0" borderId="1" xfId="78" applyFont="1" applyBorder="1" applyAlignment="1">
      <alignment horizontal="center" vertical="center" textRotation="90" wrapText="1"/>
    </xf>
    <xf numFmtId="0" fontId="0" fillId="0" borderId="3" xfId="0" applyBorder="1" applyAlignment="1">
      <alignment vertical="center" wrapText="1"/>
    </xf>
    <xf numFmtId="0" fontId="4" fillId="0" borderId="7" xfId="1" applyBorder="1" applyAlignment="1">
      <alignment horizontal="left" vertical="center"/>
    </xf>
    <xf numFmtId="0" fontId="4" fillId="0" borderId="77" xfId="1" applyBorder="1" applyAlignment="1">
      <alignment horizontal="left" vertical="center"/>
    </xf>
    <xf numFmtId="0" fontId="4" fillId="0" borderId="0" xfId="1" applyAlignment="1">
      <alignment horizontal="left" vertical="center"/>
    </xf>
    <xf numFmtId="0" fontId="4" fillId="0" borderId="78" xfId="1" applyBorder="1" applyAlignment="1">
      <alignment horizontal="left" vertical="center"/>
    </xf>
    <xf numFmtId="165" fontId="5" fillId="0" borderId="0" xfId="78" applyNumberFormat="1" applyFont="1" applyAlignment="1">
      <alignment horizontal="center" vertical="center"/>
    </xf>
    <xf numFmtId="0" fontId="5" fillId="0" borderId="106" xfId="0" applyFont="1" applyBorder="1" applyAlignment="1">
      <alignment horizontal="center" vertical="center"/>
    </xf>
    <xf numFmtId="165" fontId="5" fillId="0" borderId="80" xfId="78" applyNumberFormat="1" applyFont="1" applyBorder="1" applyAlignment="1">
      <alignment horizontal="center" vertical="center"/>
    </xf>
    <xf numFmtId="0" fontId="0" fillId="0" borderId="29" xfId="0" applyBorder="1" applyAlignment="1">
      <alignment horizontal="center" vertical="center"/>
    </xf>
    <xf numFmtId="0" fontId="5" fillId="0" borderId="3" xfId="78" applyFont="1" applyBorder="1" applyAlignment="1">
      <alignment horizontal="center" vertical="center" textRotation="90" wrapText="1"/>
    </xf>
    <xf numFmtId="0" fontId="5" fillId="0" borderId="5" xfId="78" quotePrefix="1" applyFont="1" applyBorder="1" applyAlignment="1">
      <alignment horizontal="center" vertical="center"/>
    </xf>
    <xf numFmtId="165" fontId="5" fillId="0" borderId="104" xfId="78" applyNumberFormat="1" applyFont="1" applyBorder="1" applyAlignment="1">
      <alignment horizontal="center" vertical="center"/>
    </xf>
    <xf numFmtId="165" fontId="5" fillId="0" borderId="110" xfId="78" applyNumberFormat="1" applyFont="1" applyBorder="1" applyAlignment="1">
      <alignment horizontal="center" vertical="center"/>
    </xf>
    <xf numFmtId="165" fontId="5" fillId="0" borderId="19" xfId="78" applyNumberFormat="1" applyFont="1" applyBorder="1" applyAlignment="1">
      <alignment horizontal="center" vertical="center"/>
    </xf>
    <xf numFmtId="165" fontId="5" fillId="0" borderId="99" xfId="78" applyNumberFormat="1" applyFont="1" applyBorder="1" applyAlignment="1">
      <alignment horizontal="center" vertical="center"/>
    </xf>
    <xf numFmtId="165" fontId="5" fillId="0" borderId="23" xfId="78" applyNumberFormat="1" applyFont="1" applyBorder="1" applyAlignment="1">
      <alignment horizontal="center" vertical="center"/>
    </xf>
    <xf numFmtId="165" fontId="5" fillId="0" borderId="17" xfId="78" applyNumberFormat="1" applyFont="1" applyBorder="1" applyAlignment="1">
      <alignment horizontal="center" vertical="center"/>
    </xf>
    <xf numFmtId="0" fontId="5" fillId="0" borderId="106" xfId="0" applyFont="1" applyBorder="1" applyAlignment="1">
      <alignment horizontal="left" vertical="center"/>
    </xf>
    <xf numFmtId="0" fontId="0" fillId="0" borderId="65" xfId="0" applyBorder="1" applyAlignment="1">
      <alignment horizontal="left" vertical="center"/>
    </xf>
    <xf numFmtId="0" fontId="0" fillId="0" borderId="1" xfId="0" applyBorder="1" applyAlignment="1">
      <alignment vertical="center"/>
    </xf>
    <xf numFmtId="0" fontId="0" fillId="0" borderId="28" xfId="0" applyBorder="1" applyAlignment="1">
      <alignment vertical="center"/>
    </xf>
    <xf numFmtId="0" fontId="5" fillId="0" borderId="6" xfId="78" applyFont="1" applyBorder="1" applyAlignment="1">
      <alignment vertical="center" textRotation="90" wrapText="1"/>
    </xf>
    <xf numFmtId="0" fontId="5" fillId="0" borderId="0" xfId="78" applyFont="1" applyAlignment="1">
      <alignment vertical="center" wrapText="1"/>
    </xf>
    <xf numFmtId="0" fontId="5" fillId="0" borderId="111" xfId="78" applyFont="1" applyBorder="1" applyAlignment="1">
      <alignment horizontal="left" vertical="center"/>
    </xf>
    <xf numFmtId="0" fontId="8" fillId="0" borderId="0" xfId="78" applyFont="1" applyAlignment="1">
      <alignment horizontal="center" vertical="center"/>
    </xf>
    <xf numFmtId="0" fontId="8" fillId="0" borderId="0" xfId="79" applyFont="1" applyAlignment="1">
      <alignment horizontal="center" vertical="center"/>
    </xf>
    <xf numFmtId="165" fontId="5" fillId="0" borderId="74" xfId="78" applyNumberFormat="1" applyFont="1" applyBorder="1" applyAlignment="1">
      <alignment horizontal="left" vertical="center"/>
    </xf>
    <xf numFmtId="165" fontId="5" fillId="0" borderId="104" xfId="78" applyNumberFormat="1" applyFont="1" applyBorder="1" applyAlignment="1">
      <alignment horizontal="left" vertical="center"/>
    </xf>
    <xf numFmtId="0" fontId="0" fillId="0" borderId="75" xfId="0" applyBorder="1" applyAlignment="1">
      <alignment vertical="center"/>
    </xf>
    <xf numFmtId="0" fontId="0" fillId="0" borderId="91" xfId="0" applyBorder="1" applyAlignment="1">
      <alignment horizontal="left" vertical="center"/>
    </xf>
    <xf numFmtId="0" fontId="0" fillId="0" borderId="92" xfId="0" applyBorder="1" applyAlignment="1">
      <alignment horizontal="left" vertical="center"/>
    </xf>
    <xf numFmtId="0" fontId="5" fillId="0" borderId="49" xfId="78" applyFont="1" applyBorder="1" applyAlignment="1">
      <alignment horizontal="left" vertical="center"/>
    </xf>
    <xf numFmtId="0" fontId="0" fillId="0" borderId="93" xfId="0" applyBorder="1" applyAlignment="1">
      <alignment horizontal="center" vertical="center"/>
    </xf>
    <xf numFmtId="0" fontId="5" fillId="23" borderId="81" xfId="78" applyFont="1" applyFill="1" applyBorder="1" applyAlignment="1">
      <alignment horizontal="center" vertical="center"/>
    </xf>
    <xf numFmtId="0" fontId="5" fillId="23" borderId="2" xfId="78" applyFont="1" applyFill="1" applyBorder="1" applyAlignment="1">
      <alignment horizontal="center" vertical="center"/>
    </xf>
    <xf numFmtId="0" fontId="5" fillId="21" borderId="81" xfId="78" applyFont="1" applyFill="1" applyBorder="1" applyAlignment="1">
      <alignment horizontal="center" vertical="center"/>
    </xf>
    <xf numFmtId="0" fontId="5" fillId="21" borderId="2" xfId="78" applyFont="1" applyFill="1" applyBorder="1" applyAlignment="1">
      <alignment horizontal="center" vertical="center"/>
    </xf>
    <xf numFmtId="0" fontId="5" fillId="23" borderId="81" xfId="78" applyFont="1" applyFill="1" applyBorder="1" applyAlignment="1">
      <alignment horizontal="left" vertical="center"/>
    </xf>
    <xf numFmtId="0" fontId="0" fillId="23" borderId="0" xfId="0" applyFill="1" applyAlignment="1">
      <alignment horizontal="left" vertical="center"/>
    </xf>
    <xf numFmtId="0" fontId="0" fillId="23" borderId="78" xfId="0" applyFill="1" applyBorder="1" applyAlignment="1">
      <alignment horizontal="left" vertical="center"/>
    </xf>
    <xf numFmtId="0" fontId="5" fillId="21" borderId="1" xfId="78" applyFont="1" applyFill="1" applyBorder="1" applyAlignment="1">
      <alignment horizontal="left" vertical="center"/>
    </xf>
    <xf numFmtId="0" fontId="0" fillId="21" borderId="0" xfId="0" applyFill="1" applyAlignment="1">
      <alignment horizontal="left" vertical="center"/>
    </xf>
    <xf numFmtId="0" fontId="0" fillId="21" borderId="78" xfId="0" applyFill="1" applyBorder="1" applyAlignment="1">
      <alignment horizontal="left" vertical="center"/>
    </xf>
    <xf numFmtId="0" fontId="5" fillId="21" borderId="81" xfId="78" applyFont="1" applyFill="1" applyBorder="1" applyAlignment="1">
      <alignment horizontal="left" vertical="center"/>
    </xf>
    <xf numFmtId="165" fontId="5" fillId="0" borderId="80" xfId="78" applyNumberFormat="1" applyFont="1" applyBorder="1" applyAlignment="1">
      <alignment horizontal="center" vertical="center" wrapText="1"/>
    </xf>
    <xf numFmtId="165" fontId="5" fillId="0" borderId="7" xfId="78" applyNumberFormat="1" applyFont="1" applyBorder="1" applyAlignment="1">
      <alignment horizontal="center" vertical="center" wrapText="1"/>
    </xf>
    <xf numFmtId="0" fontId="5" fillId="0" borderId="32" xfId="78" quotePrefix="1" applyFont="1" applyBorder="1" applyAlignment="1">
      <alignment vertical="center" wrapText="1"/>
    </xf>
    <xf numFmtId="0" fontId="5" fillId="0" borderId="7" xfId="78" quotePrefix="1" applyFont="1" applyBorder="1" applyAlignment="1">
      <alignment vertical="center" wrapText="1"/>
    </xf>
    <xf numFmtId="0" fontId="0" fillId="0" borderId="8" xfId="0" applyBorder="1" applyAlignment="1">
      <alignment vertical="center" wrapText="1"/>
    </xf>
    <xf numFmtId="0" fontId="0" fillId="0" borderId="20" xfId="0" applyBorder="1" applyAlignment="1">
      <alignment vertical="center" wrapText="1"/>
    </xf>
    <xf numFmtId="0" fontId="0" fillId="0" borderId="2" xfId="0" applyBorder="1" applyAlignment="1">
      <alignment vertical="center" wrapText="1"/>
    </xf>
    <xf numFmtId="0" fontId="5" fillId="0" borderId="23" xfId="78" applyFont="1" applyBorder="1" applyAlignment="1">
      <alignment horizontal="center" vertical="center"/>
    </xf>
    <xf numFmtId="0" fontId="0" fillId="0" borderId="25" xfId="0" applyBorder="1" applyAlignment="1">
      <alignment vertical="center"/>
    </xf>
    <xf numFmtId="0" fontId="5" fillId="0" borderId="26" xfId="78" applyFont="1" applyBorder="1" applyAlignment="1">
      <alignment vertical="center"/>
    </xf>
    <xf numFmtId="0" fontId="0" fillId="0" borderId="89" xfId="0" applyBorder="1" applyAlignment="1">
      <alignment vertical="center"/>
    </xf>
    <xf numFmtId="0" fontId="5" fillId="23" borderId="1" xfId="78" applyFont="1" applyFill="1" applyBorder="1" applyAlignment="1">
      <alignment horizontal="left" vertical="center"/>
    </xf>
    <xf numFmtId="0" fontId="5" fillId="23" borderId="0" xfId="78" applyFont="1" applyFill="1" applyAlignment="1">
      <alignment horizontal="center" vertical="center"/>
    </xf>
    <xf numFmtId="0" fontId="0" fillId="23" borderId="0" xfId="0" applyFill="1" applyAlignment="1">
      <alignment horizontal="center" vertical="center"/>
    </xf>
    <xf numFmtId="0" fontId="5" fillId="21" borderId="0" xfId="78" applyFont="1" applyFill="1" applyAlignment="1">
      <alignment horizontal="center" vertical="center"/>
    </xf>
    <xf numFmtId="0" fontId="0" fillId="21" borderId="0" xfId="0" applyFill="1" applyAlignment="1">
      <alignment horizontal="center" vertical="center"/>
    </xf>
  </cellXfs>
  <cellStyles count="82">
    <cellStyle name="20% - Akzent1" xfId="4" xr:uid="{00000000-0005-0000-0000-000000000000}"/>
    <cellStyle name="20% - Akzent2" xfId="5" xr:uid="{00000000-0005-0000-0000-000001000000}"/>
    <cellStyle name="20% - Akzent3" xfId="6" xr:uid="{00000000-0005-0000-0000-000002000000}"/>
    <cellStyle name="20% - Akzent4" xfId="7" xr:uid="{00000000-0005-0000-0000-000003000000}"/>
    <cellStyle name="20% - Akzent5" xfId="8" xr:uid="{00000000-0005-0000-0000-000004000000}"/>
    <cellStyle name="20% - Akzent6" xfId="9" xr:uid="{00000000-0005-0000-0000-000005000000}"/>
    <cellStyle name="40% - Akzent1" xfId="10" xr:uid="{00000000-0005-0000-0000-000006000000}"/>
    <cellStyle name="40% - Akzent2" xfId="11" xr:uid="{00000000-0005-0000-0000-000007000000}"/>
    <cellStyle name="40% - Akzent3" xfId="12" xr:uid="{00000000-0005-0000-0000-000008000000}"/>
    <cellStyle name="40% - Akzent4" xfId="13" xr:uid="{00000000-0005-0000-0000-000009000000}"/>
    <cellStyle name="40% - Akzent5" xfId="14" xr:uid="{00000000-0005-0000-0000-00000A000000}"/>
    <cellStyle name="40% - Akzent6" xfId="15" xr:uid="{00000000-0005-0000-0000-00000B000000}"/>
    <cellStyle name="60% - Akzent1" xfId="16" xr:uid="{00000000-0005-0000-0000-00000C000000}"/>
    <cellStyle name="60% - Akzent2" xfId="17" xr:uid="{00000000-0005-0000-0000-00000D000000}"/>
    <cellStyle name="60% - Akzent3" xfId="18" xr:uid="{00000000-0005-0000-0000-00000E000000}"/>
    <cellStyle name="60% - Akzent4" xfId="19" xr:uid="{00000000-0005-0000-0000-00000F000000}"/>
    <cellStyle name="60% - Akzent5" xfId="20" xr:uid="{00000000-0005-0000-0000-000010000000}"/>
    <cellStyle name="60% - Akzent6" xfId="21" xr:uid="{00000000-0005-0000-0000-000011000000}"/>
    <cellStyle name="Gut 2" xfId="22" xr:uid="{00000000-0005-0000-0000-000012000000}"/>
    <cellStyle name="Hyperlink 2" xfId="23" xr:uid="{00000000-0005-0000-0000-000014000000}"/>
    <cellStyle name="Hyperlink 2 2" xfId="24" xr:uid="{00000000-0005-0000-0000-000015000000}"/>
    <cellStyle name="Hyperlink 2 3" xfId="25" xr:uid="{00000000-0005-0000-0000-000016000000}"/>
    <cellStyle name="Neutral 2" xfId="26" xr:uid="{00000000-0005-0000-0000-000017000000}"/>
    <cellStyle name="Normal" xfId="0" builtinId="0"/>
    <cellStyle name="Normal 2" xfId="1" xr:uid="{00000000-0005-0000-0000-000018000000}"/>
    <cellStyle name="Normal 2 2" xfId="80" xr:uid="{FC99216F-79D6-4C7E-A6FD-C8C68DF1E081}"/>
    <cellStyle name="Normal 2 2 2" xfId="79" xr:uid="{C26EDD3F-FB04-4F23-9A28-83126EE035A8}"/>
    <cellStyle name="Normal 4" xfId="81" xr:uid="{ED68D450-6410-4C1C-B509-6868168E42DE}"/>
    <cellStyle name="Schlecht 2" xfId="27" xr:uid="{00000000-0005-0000-0000-000019000000}"/>
    <cellStyle name="Standard 2" xfId="2" xr:uid="{00000000-0005-0000-0000-00001B000000}"/>
    <cellStyle name="Standard 2 2" xfId="28" xr:uid="{00000000-0005-0000-0000-00001C000000}"/>
    <cellStyle name="Standard 2 3" xfId="29" xr:uid="{00000000-0005-0000-0000-00001D000000}"/>
    <cellStyle name="Standard 2 3 2" xfId="30" xr:uid="{00000000-0005-0000-0000-00001E000000}"/>
    <cellStyle name="Standard 2 3 2 2" xfId="31" xr:uid="{00000000-0005-0000-0000-00001F000000}"/>
    <cellStyle name="Standard 2 3 2 2 2" xfId="32" xr:uid="{00000000-0005-0000-0000-000020000000}"/>
    <cellStyle name="Standard 2 3 2 3" xfId="33" xr:uid="{00000000-0005-0000-0000-000021000000}"/>
    <cellStyle name="Standard 2 3 3" xfId="34" xr:uid="{00000000-0005-0000-0000-000022000000}"/>
    <cellStyle name="Standard 2 3 3 2" xfId="35" xr:uid="{00000000-0005-0000-0000-000023000000}"/>
    <cellStyle name="Standard 2 3 3 2 2" xfId="36" xr:uid="{00000000-0005-0000-0000-000024000000}"/>
    <cellStyle name="Standard 2 3 3 3" xfId="37" xr:uid="{00000000-0005-0000-0000-000025000000}"/>
    <cellStyle name="Standard 2 3 4" xfId="38" xr:uid="{00000000-0005-0000-0000-000026000000}"/>
    <cellStyle name="Standard 2 3 4 2" xfId="39" xr:uid="{00000000-0005-0000-0000-000027000000}"/>
    <cellStyle name="Standard 2 3 5" xfId="40" xr:uid="{00000000-0005-0000-0000-000028000000}"/>
    <cellStyle name="Standard 2 4" xfId="41" xr:uid="{00000000-0005-0000-0000-000029000000}"/>
    <cellStyle name="Standard 2 4 2" xfId="42" xr:uid="{00000000-0005-0000-0000-00002A000000}"/>
    <cellStyle name="Standard 2 5" xfId="43" xr:uid="{00000000-0005-0000-0000-00002B000000}"/>
    <cellStyle name="Standard 3" xfId="3" xr:uid="{00000000-0005-0000-0000-00002C000000}"/>
    <cellStyle name="Standard 3 2" xfId="44" xr:uid="{00000000-0005-0000-0000-00002D000000}"/>
    <cellStyle name="Standard 3 2 2" xfId="45" xr:uid="{00000000-0005-0000-0000-00002E000000}"/>
    <cellStyle name="Standard 3 2 2 2" xfId="46" xr:uid="{00000000-0005-0000-0000-00002F000000}"/>
    <cellStyle name="Standard 3 2 2 2 2" xfId="47" xr:uid="{00000000-0005-0000-0000-000030000000}"/>
    <cellStyle name="Standard 3 2 2 3" xfId="48" xr:uid="{00000000-0005-0000-0000-000031000000}"/>
    <cellStyle name="Standard 3 2 3" xfId="49" xr:uid="{00000000-0005-0000-0000-000032000000}"/>
    <cellStyle name="Standard 3 2 3 2" xfId="50" xr:uid="{00000000-0005-0000-0000-000033000000}"/>
    <cellStyle name="Standard 3 2 3 2 2" xfId="51" xr:uid="{00000000-0005-0000-0000-000034000000}"/>
    <cellStyle name="Standard 3 2 3 3" xfId="52" xr:uid="{00000000-0005-0000-0000-000035000000}"/>
    <cellStyle name="Standard 3 2 4" xfId="53" xr:uid="{00000000-0005-0000-0000-000036000000}"/>
    <cellStyle name="Standard 3 2 4 2" xfId="54" xr:uid="{00000000-0005-0000-0000-000037000000}"/>
    <cellStyle name="Standard 3 2 5" xfId="55" xr:uid="{00000000-0005-0000-0000-000038000000}"/>
    <cellStyle name="Standard 3 2 6" xfId="56" xr:uid="{00000000-0005-0000-0000-000039000000}"/>
    <cellStyle name="Standard 3 3" xfId="57" xr:uid="{00000000-0005-0000-0000-00003A000000}"/>
    <cellStyle name="Standard 3 3 2" xfId="58" xr:uid="{00000000-0005-0000-0000-00003B000000}"/>
    <cellStyle name="Standard 3 3 2 2" xfId="59" xr:uid="{00000000-0005-0000-0000-00003C000000}"/>
    <cellStyle name="Standard 3 3 3" xfId="60" xr:uid="{00000000-0005-0000-0000-00003D000000}"/>
    <cellStyle name="Standard 3 4" xfId="61" xr:uid="{00000000-0005-0000-0000-00003E000000}"/>
    <cellStyle name="Standard 3 4 2" xfId="62" xr:uid="{00000000-0005-0000-0000-00003F000000}"/>
    <cellStyle name="Standard 3 5" xfId="63" xr:uid="{00000000-0005-0000-0000-000040000000}"/>
    <cellStyle name="Standard 3 5 2" xfId="64" xr:uid="{00000000-0005-0000-0000-000041000000}"/>
    <cellStyle name="Standard 3 6" xfId="65" xr:uid="{00000000-0005-0000-0000-000042000000}"/>
    <cellStyle name="Standard 4" xfId="66" xr:uid="{00000000-0005-0000-0000-000043000000}"/>
    <cellStyle name="Standard 4 2" xfId="67" xr:uid="{00000000-0005-0000-0000-000044000000}"/>
    <cellStyle name="Standard 4 3" xfId="68" xr:uid="{00000000-0005-0000-0000-000045000000}"/>
    <cellStyle name="Standard 4 3 2" xfId="69" xr:uid="{00000000-0005-0000-0000-000046000000}"/>
    <cellStyle name="Standard 4 3 2 2" xfId="70" xr:uid="{00000000-0005-0000-0000-000047000000}"/>
    <cellStyle name="Standard 4 3 2 2 2" xfId="71" xr:uid="{00000000-0005-0000-0000-000048000000}"/>
    <cellStyle name="Standard 4 3 2 3" xfId="72" xr:uid="{00000000-0005-0000-0000-000049000000}"/>
    <cellStyle name="Standard 4 3 3" xfId="73" xr:uid="{00000000-0005-0000-0000-00004A000000}"/>
    <cellStyle name="Standard 4 3 3 2" xfId="74" xr:uid="{00000000-0005-0000-0000-00004B000000}"/>
    <cellStyle name="Standard 4 3 3 2 2" xfId="75" xr:uid="{00000000-0005-0000-0000-00004C000000}"/>
    <cellStyle name="Standard 4 3 3 3" xfId="76" xr:uid="{00000000-0005-0000-0000-00004D000000}"/>
    <cellStyle name="Standard 4 3 4" xfId="77" xr:uid="{00000000-0005-0000-0000-00004E000000}"/>
    <cellStyle name="Standard_Piping classes example" xfId="78" xr:uid="{00000000-0005-0000-0000-00004F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135255</xdr:colOff>
      <xdr:row>7</xdr:row>
      <xdr:rowOff>91440</xdr:rowOff>
    </xdr:from>
    <xdr:to>
      <xdr:col>7</xdr:col>
      <xdr:colOff>320655</xdr:colOff>
      <xdr:row>7</xdr:row>
      <xdr:rowOff>91440</xdr:rowOff>
    </xdr:to>
    <xdr:cxnSp macro="">
      <xdr:nvCxnSpPr>
        <xdr:cNvPr id="3" name="Straight Arrow Connector 2">
          <a:extLst>
            <a:ext uri="{FF2B5EF4-FFF2-40B4-BE49-F238E27FC236}">
              <a16:creationId xmlns:a16="http://schemas.microsoft.com/office/drawing/2014/main" id="{BC845F64-4DC2-4597-BB53-00C87B48D6C1}"/>
            </a:ext>
          </a:extLst>
        </xdr:cNvPr>
        <xdr:cNvCxnSpPr/>
      </xdr:nvCxnSpPr>
      <xdr:spPr>
        <a:xfrm>
          <a:off x="1783080" y="1320165"/>
          <a:ext cx="1785600" cy="0"/>
        </a:xfrm>
        <a:prstGeom prst="straightConnector1">
          <a:avLst/>
        </a:prstGeom>
        <a:ln w="19050">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116205</xdr:colOff>
      <xdr:row>12</xdr:row>
      <xdr:rowOff>91440</xdr:rowOff>
    </xdr:from>
    <xdr:to>
      <xdr:col>7</xdr:col>
      <xdr:colOff>301605</xdr:colOff>
      <xdr:row>12</xdr:row>
      <xdr:rowOff>91440</xdr:rowOff>
    </xdr:to>
    <xdr:cxnSp macro="">
      <xdr:nvCxnSpPr>
        <xdr:cNvPr id="8" name="Straight Arrow Connector 7">
          <a:extLst>
            <a:ext uri="{FF2B5EF4-FFF2-40B4-BE49-F238E27FC236}">
              <a16:creationId xmlns:a16="http://schemas.microsoft.com/office/drawing/2014/main" id="{C2B89EDD-47DC-4D9A-9472-73525A242D2B}"/>
            </a:ext>
          </a:extLst>
        </xdr:cNvPr>
        <xdr:cNvCxnSpPr/>
      </xdr:nvCxnSpPr>
      <xdr:spPr>
        <a:xfrm>
          <a:off x="1764030" y="2129790"/>
          <a:ext cx="1785600" cy="0"/>
        </a:xfrm>
        <a:prstGeom prst="straightConnector1">
          <a:avLst/>
        </a:prstGeom>
        <a:ln w="19050">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76200</xdr:colOff>
      <xdr:row>7</xdr:row>
      <xdr:rowOff>85725</xdr:rowOff>
    </xdr:from>
    <xdr:to>
      <xdr:col>19</xdr:col>
      <xdr:colOff>333375</xdr:colOff>
      <xdr:row>7</xdr:row>
      <xdr:rowOff>95250</xdr:rowOff>
    </xdr:to>
    <xdr:cxnSp macro="">
      <xdr:nvCxnSpPr>
        <xdr:cNvPr id="2" name="Straight Arrow Connector 1">
          <a:extLst>
            <a:ext uri="{FF2B5EF4-FFF2-40B4-BE49-F238E27FC236}">
              <a16:creationId xmlns:a16="http://schemas.microsoft.com/office/drawing/2014/main" id="{CBE92C65-5F1B-48B4-AAB4-3C9A7729AD07}"/>
            </a:ext>
          </a:extLst>
        </xdr:cNvPr>
        <xdr:cNvCxnSpPr/>
      </xdr:nvCxnSpPr>
      <xdr:spPr>
        <a:xfrm flipV="1">
          <a:off x="1724025" y="1333500"/>
          <a:ext cx="6667500" cy="9525"/>
        </a:xfrm>
        <a:prstGeom prst="straightConnector1">
          <a:avLst/>
        </a:prstGeom>
        <a:ln w="19050">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95250</xdr:colOff>
      <xdr:row>12</xdr:row>
      <xdr:rowOff>85725</xdr:rowOff>
    </xdr:from>
    <xdr:to>
      <xdr:col>19</xdr:col>
      <xdr:colOff>333375</xdr:colOff>
      <xdr:row>12</xdr:row>
      <xdr:rowOff>85725</xdr:rowOff>
    </xdr:to>
    <xdr:cxnSp macro="">
      <xdr:nvCxnSpPr>
        <xdr:cNvPr id="3" name="Straight Arrow Connector 2">
          <a:extLst>
            <a:ext uri="{FF2B5EF4-FFF2-40B4-BE49-F238E27FC236}">
              <a16:creationId xmlns:a16="http://schemas.microsoft.com/office/drawing/2014/main" id="{002E02E9-C46B-437C-960E-210CC742D4AE}"/>
            </a:ext>
          </a:extLst>
        </xdr:cNvPr>
        <xdr:cNvCxnSpPr/>
      </xdr:nvCxnSpPr>
      <xdr:spPr>
        <a:xfrm>
          <a:off x="1743075" y="2143125"/>
          <a:ext cx="6648450" cy="0"/>
        </a:xfrm>
        <a:prstGeom prst="straightConnector1">
          <a:avLst/>
        </a:prstGeom>
        <a:ln w="19050">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18</xdr:row>
      <xdr:rowOff>9525</xdr:rowOff>
    </xdr:from>
    <xdr:to>
      <xdr:col>21</xdr:col>
      <xdr:colOff>0</xdr:colOff>
      <xdr:row>50</xdr:row>
      <xdr:rowOff>0</xdr:rowOff>
    </xdr:to>
    <xdr:cxnSp macro="">
      <xdr:nvCxnSpPr>
        <xdr:cNvPr id="4" name="Straight Connector 3">
          <a:extLst>
            <a:ext uri="{FF2B5EF4-FFF2-40B4-BE49-F238E27FC236}">
              <a16:creationId xmlns:a16="http://schemas.microsoft.com/office/drawing/2014/main" id="{8A74A38A-CF65-4E8A-AB99-D3E18EA1B32F}"/>
            </a:ext>
          </a:extLst>
        </xdr:cNvPr>
        <xdr:cNvCxnSpPr/>
      </xdr:nvCxnSpPr>
      <xdr:spPr>
        <a:xfrm flipV="1">
          <a:off x="1247775" y="3038475"/>
          <a:ext cx="7610475" cy="517207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251059</xdr:colOff>
      <xdr:row>33</xdr:row>
      <xdr:rowOff>75889</xdr:rowOff>
    </xdr:from>
    <xdr:to>
      <xdr:col>12</xdr:col>
      <xdr:colOff>184384</xdr:colOff>
      <xdr:row>36</xdr:row>
      <xdr:rowOff>46852</xdr:rowOff>
    </xdr:to>
    <xdr:sp macro="" textlink="">
      <xdr:nvSpPr>
        <xdr:cNvPr id="5" name="TextBox 4">
          <a:extLst>
            <a:ext uri="{FF2B5EF4-FFF2-40B4-BE49-F238E27FC236}">
              <a16:creationId xmlns:a16="http://schemas.microsoft.com/office/drawing/2014/main" id="{7289A617-FB43-4955-B6C1-CBFF1B84A02B}"/>
            </a:ext>
          </a:extLst>
        </xdr:cNvPr>
        <xdr:cNvSpPr txBox="1"/>
      </xdr:nvSpPr>
      <xdr:spPr>
        <a:xfrm rot="19548692">
          <a:off x="4299184" y="5533714"/>
          <a:ext cx="1143000" cy="456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CH" sz="800" b="1">
              <a:latin typeface="Arial" panose="020B0604020202020204" pitchFamily="34" charset="0"/>
              <a:cs typeface="Arial" panose="020B0604020202020204" pitchFamily="34" charset="0"/>
            </a:rPr>
            <a:t>Refer to pipe class</a:t>
          </a:r>
        </a:p>
        <a:p>
          <a:pPr algn="ctr"/>
          <a:endParaRPr lang="de-CH" sz="800" b="1">
            <a:latin typeface="Arial" panose="020B0604020202020204" pitchFamily="34" charset="0"/>
            <a:cs typeface="Arial" panose="020B0604020202020204" pitchFamily="34" charset="0"/>
          </a:endParaRPr>
        </a:p>
        <a:p>
          <a:pPr algn="ctr"/>
          <a:r>
            <a:rPr lang="de-CH" sz="800" b="1">
              <a:latin typeface="Arial" panose="020B0604020202020204" pitchFamily="34" charset="0"/>
              <a:cs typeface="Arial" panose="020B0604020202020204" pitchFamily="34" charset="0"/>
            </a:rPr>
            <a:t>ECDB_xxx (PN16</a:t>
          </a:r>
          <a:r>
            <a:rPr lang="de-CH" sz="800">
              <a:latin typeface="Arial" panose="020B0604020202020204" pitchFamily="34" charset="0"/>
              <a:cs typeface="Arial" panose="020B0604020202020204" pitchFamily="34" charset="0"/>
            </a:rPr>
            <a:t>)</a:t>
          </a:r>
        </a:p>
      </xdr:txBody>
    </xdr:sp>
    <xdr:clientData/>
  </xdr:twoCellAnchor>
  <xdr:twoCellAnchor>
    <xdr:from>
      <xdr:col>28</xdr:col>
      <xdr:colOff>47224</xdr:colOff>
      <xdr:row>29</xdr:row>
      <xdr:rowOff>161614</xdr:rowOff>
    </xdr:from>
    <xdr:to>
      <xdr:col>30</xdr:col>
      <xdr:colOff>376789</xdr:colOff>
      <xdr:row>32</xdr:row>
      <xdr:rowOff>132577</xdr:rowOff>
    </xdr:to>
    <xdr:sp macro="" textlink="">
      <xdr:nvSpPr>
        <xdr:cNvPr id="6" name="TextBox 5">
          <a:extLst>
            <a:ext uri="{FF2B5EF4-FFF2-40B4-BE49-F238E27FC236}">
              <a16:creationId xmlns:a16="http://schemas.microsoft.com/office/drawing/2014/main" id="{A8651917-F1DF-4813-9CCD-601FA1790C48}"/>
            </a:ext>
          </a:extLst>
        </xdr:cNvPr>
        <xdr:cNvSpPr txBox="1"/>
      </xdr:nvSpPr>
      <xdr:spPr>
        <a:xfrm rot="19548692">
          <a:off x="11620099" y="4971739"/>
          <a:ext cx="1129665" cy="45673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CH" sz="800" b="1">
              <a:latin typeface="Arial" panose="020B0604020202020204" pitchFamily="34" charset="0"/>
              <a:cs typeface="Arial" panose="020B0604020202020204" pitchFamily="34" charset="0"/>
            </a:rPr>
            <a:t>Refer to pipe class</a:t>
          </a:r>
        </a:p>
        <a:p>
          <a:pPr algn="ctr"/>
          <a:endParaRPr lang="de-CH" sz="800" b="1">
            <a:latin typeface="Arial" panose="020B0604020202020204" pitchFamily="34" charset="0"/>
            <a:cs typeface="Arial" panose="020B0604020202020204" pitchFamily="34" charset="0"/>
          </a:endParaRPr>
        </a:p>
        <a:p>
          <a:pPr algn="ctr"/>
          <a:r>
            <a:rPr lang="de-CH" sz="800" b="1">
              <a:latin typeface="Arial" panose="020B0604020202020204" pitchFamily="34" charset="0"/>
              <a:cs typeface="Arial" panose="020B0604020202020204" pitchFamily="34" charset="0"/>
            </a:rPr>
            <a:t>ECDB_xxx (PN16</a:t>
          </a:r>
          <a:r>
            <a:rPr lang="de-CH" sz="800">
              <a:latin typeface="Arial" panose="020B0604020202020204" pitchFamily="34" charset="0"/>
              <a:cs typeface="Arial" panose="020B0604020202020204"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26</xdr:col>
      <xdr:colOff>104775</xdr:colOff>
      <xdr:row>65</xdr:row>
      <xdr:rowOff>104775</xdr:rowOff>
    </xdr:from>
    <xdr:to>
      <xdr:col>37</xdr:col>
      <xdr:colOff>304800</xdr:colOff>
      <xdr:row>73</xdr:row>
      <xdr:rowOff>78165</xdr:rowOff>
    </xdr:to>
    <xdr:pic>
      <xdr:nvPicPr>
        <xdr:cNvPr id="2" name="Picture 1">
          <a:extLst>
            <a:ext uri="{FF2B5EF4-FFF2-40B4-BE49-F238E27FC236}">
              <a16:creationId xmlns:a16="http://schemas.microsoft.com/office/drawing/2014/main" id="{6C49232C-DFA9-4E2F-96B4-CF406DB44825}"/>
            </a:ext>
          </a:extLst>
        </xdr:cNvPr>
        <xdr:cNvPicPr>
          <a:picLocks noChangeAspect="1"/>
        </xdr:cNvPicPr>
      </xdr:nvPicPr>
      <xdr:blipFill>
        <a:blip xmlns:r="http://schemas.openxmlformats.org/officeDocument/2006/relationships" r:embed="rId1"/>
        <a:stretch>
          <a:fillRect/>
        </a:stretch>
      </xdr:blipFill>
      <xdr:spPr>
        <a:xfrm>
          <a:off x="10795635" y="10909935"/>
          <a:ext cx="4558665" cy="1314510"/>
        </a:xfrm>
        <a:prstGeom prst="rect">
          <a:avLst/>
        </a:prstGeom>
      </xdr:spPr>
    </xdr:pic>
    <xdr:clientData/>
  </xdr:twoCellAnchor>
  <xdr:twoCellAnchor>
    <xdr:from>
      <xdr:col>30</xdr:col>
      <xdr:colOff>361950</xdr:colOff>
      <xdr:row>70</xdr:row>
      <xdr:rowOff>9525</xdr:rowOff>
    </xdr:from>
    <xdr:to>
      <xdr:col>33</xdr:col>
      <xdr:colOff>200025</xdr:colOff>
      <xdr:row>71</xdr:row>
      <xdr:rowOff>57150</xdr:rowOff>
    </xdr:to>
    <xdr:sp macro="" textlink="">
      <xdr:nvSpPr>
        <xdr:cNvPr id="3" name="TextBox 2">
          <a:extLst>
            <a:ext uri="{FF2B5EF4-FFF2-40B4-BE49-F238E27FC236}">
              <a16:creationId xmlns:a16="http://schemas.microsoft.com/office/drawing/2014/main" id="{DC9C8662-0790-4FEE-B5E4-12B4FEE4C51E}"/>
            </a:ext>
          </a:extLst>
        </xdr:cNvPr>
        <xdr:cNvSpPr txBox="1"/>
      </xdr:nvSpPr>
      <xdr:spPr>
        <a:xfrm>
          <a:off x="12637770" y="11652885"/>
          <a:ext cx="1026795" cy="215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800" b="1">
              <a:latin typeface="Arial" panose="020B0604020202020204" pitchFamily="34" charset="0"/>
              <a:cs typeface="Arial" panose="020B0604020202020204" pitchFamily="34" charset="0"/>
            </a:rPr>
            <a:t>xLBG10BR100</a:t>
          </a:r>
        </a:p>
      </xdr:txBody>
    </xdr:sp>
    <xdr:clientData/>
  </xdr:twoCellAnchor>
  <xdr:twoCellAnchor>
    <xdr:from>
      <xdr:col>25</xdr:col>
      <xdr:colOff>285750</xdr:colOff>
      <xdr:row>71</xdr:row>
      <xdr:rowOff>85725</xdr:rowOff>
    </xdr:from>
    <xdr:to>
      <xdr:col>27</xdr:col>
      <xdr:colOff>295275</xdr:colOff>
      <xdr:row>73</xdr:row>
      <xdr:rowOff>66675</xdr:rowOff>
    </xdr:to>
    <xdr:cxnSp macro="">
      <xdr:nvCxnSpPr>
        <xdr:cNvPr id="4" name="Straight Arrow Connector 3">
          <a:extLst>
            <a:ext uri="{FF2B5EF4-FFF2-40B4-BE49-F238E27FC236}">
              <a16:creationId xmlns:a16="http://schemas.microsoft.com/office/drawing/2014/main" id="{F8DB8486-CA37-453A-95FF-11FE6B8F5618}"/>
            </a:ext>
          </a:extLst>
        </xdr:cNvPr>
        <xdr:cNvCxnSpPr/>
      </xdr:nvCxnSpPr>
      <xdr:spPr>
        <a:xfrm flipV="1">
          <a:off x="10580370" y="11896725"/>
          <a:ext cx="802005" cy="31623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37</xdr:col>
      <xdr:colOff>0</xdr:colOff>
      <xdr:row>66</xdr:row>
      <xdr:rowOff>0</xdr:rowOff>
    </xdr:from>
    <xdr:to>
      <xdr:col>37</xdr:col>
      <xdr:colOff>0</xdr:colOff>
      <xdr:row>77</xdr:row>
      <xdr:rowOff>66675</xdr:rowOff>
    </xdr:to>
    <xdr:cxnSp macro="">
      <xdr:nvCxnSpPr>
        <xdr:cNvPr id="5" name="Straight Connector 4">
          <a:extLst>
            <a:ext uri="{FF2B5EF4-FFF2-40B4-BE49-F238E27FC236}">
              <a16:creationId xmlns:a16="http://schemas.microsoft.com/office/drawing/2014/main" id="{3485C31C-5C6B-4CD5-BE09-D52D06332DE2}"/>
            </a:ext>
          </a:extLst>
        </xdr:cNvPr>
        <xdr:cNvCxnSpPr/>
      </xdr:nvCxnSpPr>
      <xdr:spPr>
        <a:xfrm>
          <a:off x="15049500" y="10972800"/>
          <a:ext cx="0" cy="1910715"/>
        </a:xfrm>
        <a:prstGeom prst="line">
          <a:avLst/>
        </a:prstGeom>
        <a:ln>
          <a:solidFill>
            <a:schemeClr val="tx1"/>
          </a:solidFill>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61914</xdr:colOff>
      <xdr:row>73</xdr:row>
      <xdr:rowOff>38099</xdr:rowOff>
    </xdr:from>
    <xdr:to>
      <xdr:col>37</xdr:col>
      <xdr:colOff>238129</xdr:colOff>
      <xdr:row>77</xdr:row>
      <xdr:rowOff>109537</xdr:rowOff>
    </xdr:to>
    <xdr:sp macro="" textlink="">
      <xdr:nvSpPr>
        <xdr:cNvPr id="6" name="TextBox 5">
          <a:extLst>
            <a:ext uri="{FF2B5EF4-FFF2-40B4-BE49-F238E27FC236}">
              <a16:creationId xmlns:a16="http://schemas.microsoft.com/office/drawing/2014/main" id="{79499705-CC17-4B1A-B72D-3A5AC5000096}"/>
            </a:ext>
          </a:extLst>
        </xdr:cNvPr>
        <xdr:cNvSpPr txBox="1"/>
      </xdr:nvSpPr>
      <xdr:spPr>
        <a:xfrm rot="16200000">
          <a:off x="14828523" y="12467270"/>
          <a:ext cx="741998" cy="176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800" b="1">
              <a:latin typeface="Arial" panose="020B0604020202020204" pitchFamily="34" charset="0"/>
              <a:cs typeface="Arial" panose="020B0604020202020204" pitchFamily="34" charset="0"/>
            </a:rPr>
            <a:t>HP-Steam</a:t>
          </a:r>
        </a:p>
      </xdr:txBody>
    </xdr:sp>
    <xdr:clientData/>
  </xdr:twoCellAnchor>
  <xdr:twoCellAnchor>
    <xdr:from>
      <xdr:col>36</xdr:col>
      <xdr:colOff>157165</xdr:colOff>
      <xdr:row>73</xdr:row>
      <xdr:rowOff>47624</xdr:rowOff>
    </xdr:from>
    <xdr:to>
      <xdr:col>36</xdr:col>
      <xdr:colOff>333380</xdr:colOff>
      <xdr:row>77</xdr:row>
      <xdr:rowOff>119062</xdr:rowOff>
    </xdr:to>
    <xdr:sp macro="" textlink="">
      <xdr:nvSpPr>
        <xdr:cNvPr id="7" name="TextBox 6">
          <a:extLst>
            <a:ext uri="{FF2B5EF4-FFF2-40B4-BE49-F238E27FC236}">
              <a16:creationId xmlns:a16="http://schemas.microsoft.com/office/drawing/2014/main" id="{43DEB8D3-E441-420F-A9BF-5E180F897B49}"/>
            </a:ext>
          </a:extLst>
        </xdr:cNvPr>
        <xdr:cNvSpPr txBox="1"/>
      </xdr:nvSpPr>
      <xdr:spPr>
        <a:xfrm rot="16200000">
          <a:off x="14527534" y="12476795"/>
          <a:ext cx="741998" cy="176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800" b="1">
              <a:latin typeface="Arial" panose="020B0604020202020204" pitchFamily="34" charset="0"/>
              <a:cs typeface="Arial" panose="020B0604020202020204" pitchFamily="34" charset="0"/>
            </a:rPr>
            <a:t>LP-Steam</a:t>
          </a:r>
        </a:p>
      </xdr:txBody>
    </xdr:sp>
    <xdr:clientData/>
  </xdr:twoCellAnchor>
  <xdr:twoCellAnchor>
    <xdr:from>
      <xdr:col>23</xdr:col>
      <xdr:colOff>390525</xdr:colOff>
      <xdr:row>68</xdr:row>
      <xdr:rowOff>85725</xdr:rowOff>
    </xdr:from>
    <xdr:to>
      <xdr:col>26</xdr:col>
      <xdr:colOff>142875</xdr:colOff>
      <xdr:row>68</xdr:row>
      <xdr:rowOff>95250</xdr:rowOff>
    </xdr:to>
    <xdr:cxnSp macro="">
      <xdr:nvCxnSpPr>
        <xdr:cNvPr id="8" name="Straight Connector 7">
          <a:extLst>
            <a:ext uri="{FF2B5EF4-FFF2-40B4-BE49-F238E27FC236}">
              <a16:creationId xmlns:a16="http://schemas.microsoft.com/office/drawing/2014/main" id="{51875B01-CBF7-4CEA-A21E-0F21DCEF2902}"/>
            </a:ext>
          </a:extLst>
        </xdr:cNvPr>
        <xdr:cNvCxnSpPr/>
      </xdr:nvCxnSpPr>
      <xdr:spPr>
        <a:xfrm>
          <a:off x="9892665" y="11393805"/>
          <a:ext cx="941070" cy="9525"/>
        </a:xfrm>
        <a:prstGeom prst="line">
          <a:avLst/>
        </a:prstGeom>
        <a:ln>
          <a:solidFill>
            <a:schemeClr val="tx1"/>
          </a:solidFill>
          <a:prstDash val="lgDash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140494</xdr:colOff>
      <xdr:row>65</xdr:row>
      <xdr:rowOff>98822</xdr:rowOff>
    </xdr:from>
    <xdr:to>
      <xdr:col>36</xdr:col>
      <xdr:colOff>226220</xdr:colOff>
      <xdr:row>68</xdr:row>
      <xdr:rowOff>79772</xdr:rowOff>
    </xdr:to>
    <xdr:sp macro="" textlink="">
      <xdr:nvSpPr>
        <xdr:cNvPr id="9" name="TextBox 8">
          <a:extLst>
            <a:ext uri="{FF2B5EF4-FFF2-40B4-BE49-F238E27FC236}">
              <a16:creationId xmlns:a16="http://schemas.microsoft.com/office/drawing/2014/main" id="{387EED22-66CC-4A58-8E8A-4073AF82053F}"/>
            </a:ext>
          </a:extLst>
        </xdr:cNvPr>
        <xdr:cNvSpPr txBox="1"/>
      </xdr:nvSpPr>
      <xdr:spPr>
        <a:xfrm>
          <a:off x="12416314" y="10903982"/>
          <a:ext cx="2463166" cy="4838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54000" rIns="54000" rtlCol="0" anchor="t"/>
        <a:lstStyle/>
        <a:p>
          <a:r>
            <a:rPr lang="en-GB" sz="800">
              <a:latin typeface="Arial" panose="020B0604020202020204" pitchFamily="34" charset="0"/>
              <a:cs typeface="Arial" panose="020B0604020202020204" pitchFamily="34" charset="0"/>
            </a:rPr>
            <a:t>If safety valve placed</a:t>
          </a:r>
          <a:r>
            <a:rPr lang="en-GB" sz="800" baseline="0">
              <a:latin typeface="Arial" panose="020B0604020202020204" pitchFamily="34" charset="0"/>
              <a:cs typeface="Arial" panose="020B0604020202020204" pitchFamily="34" charset="0"/>
            </a:rPr>
            <a:t> here:</a:t>
          </a:r>
        </a:p>
        <a:p>
          <a:r>
            <a:rPr lang="en-GB" sz="800" baseline="0">
              <a:latin typeface="Arial" panose="020B0604020202020204" pitchFamily="34" charset="0"/>
              <a:cs typeface="Arial" panose="020B0604020202020204" pitchFamily="34" charset="0"/>
            </a:rPr>
            <a:t>Branch outlet made from 16Mo3 (as transition piece)</a:t>
          </a:r>
        </a:p>
        <a:p>
          <a:r>
            <a:rPr lang="en-GB" sz="800" baseline="0">
              <a:latin typeface="Arial" panose="020B0604020202020204" pitchFamily="34" charset="0"/>
              <a:cs typeface="Arial" panose="020B0604020202020204" pitchFamily="34" charset="0"/>
            </a:rPr>
            <a:t>But also xLBG10BR510 made from 16Mo3!</a:t>
          </a:r>
          <a:endParaRPr lang="en-GB" sz="800">
            <a:latin typeface="Arial" panose="020B0604020202020204" pitchFamily="34" charset="0"/>
            <a:cs typeface="Arial" panose="020B0604020202020204" pitchFamily="34" charset="0"/>
          </a:endParaRPr>
        </a:p>
      </xdr:txBody>
    </xdr:sp>
    <xdr:clientData/>
  </xdr:twoCellAnchor>
  <xdr:twoCellAnchor>
    <xdr:from>
      <xdr:col>29</xdr:col>
      <xdr:colOff>285750</xdr:colOff>
      <xdr:row>66</xdr:row>
      <xdr:rowOff>41672</xdr:rowOff>
    </xdr:from>
    <xdr:to>
      <xdr:col>30</xdr:col>
      <xdr:colOff>166687</xdr:colOff>
      <xdr:row>69</xdr:row>
      <xdr:rowOff>133350</xdr:rowOff>
    </xdr:to>
    <xdr:cxnSp macro="">
      <xdr:nvCxnSpPr>
        <xdr:cNvPr id="10" name="Straight Arrow Connector 9">
          <a:extLst>
            <a:ext uri="{FF2B5EF4-FFF2-40B4-BE49-F238E27FC236}">
              <a16:creationId xmlns:a16="http://schemas.microsoft.com/office/drawing/2014/main" id="{2615540B-BFC7-4935-85E6-56DE706FF347}"/>
            </a:ext>
          </a:extLst>
        </xdr:cNvPr>
        <xdr:cNvCxnSpPr/>
      </xdr:nvCxnSpPr>
      <xdr:spPr>
        <a:xfrm flipH="1">
          <a:off x="12165330" y="11014472"/>
          <a:ext cx="277177" cy="59459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180975</xdr:colOff>
      <xdr:row>72</xdr:row>
      <xdr:rowOff>38100</xdr:rowOff>
    </xdr:from>
    <xdr:to>
      <xdr:col>27</xdr:col>
      <xdr:colOff>219075</xdr:colOff>
      <xdr:row>76</xdr:row>
      <xdr:rowOff>0</xdr:rowOff>
    </xdr:to>
    <xdr:cxnSp macro="">
      <xdr:nvCxnSpPr>
        <xdr:cNvPr id="11" name="Straight Arrow Connector 10">
          <a:extLst>
            <a:ext uri="{FF2B5EF4-FFF2-40B4-BE49-F238E27FC236}">
              <a16:creationId xmlns:a16="http://schemas.microsoft.com/office/drawing/2014/main" id="{D8789759-01C7-49C5-B399-2636FF043347}"/>
            </a:ext>
          </a:extLst>
        </xdr:cNvPr>
        <xdr:cNvCxnSpPr/>
      </xdr:nvCxnSpPr>
      <xdr:spPr>
        <a:xfrm flipV="1">
          <a:off x="10871835" y="12016740"/>
          <a:ext cx="434340" cy="63246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28</xdr:col>
      <xdr:colOff>36909</xdr:colOff>
      <xdr:row>71</xdr:row>
      <xdr:rowOff>107155</xdr:rowOff>
    </xdr:from>
    <xdr:to>
      <xdr:col>29</xdr:col>
      <xdr:colOff>392906</xdr:colOff>
      <xdr:row>72</xdr:row>
      <xdr:rowOff>95250</xdr:rowOff>
    </xdr:to>
    <xdr:cxnSp macro="">
      <xdr:nvCxnSpPr>
        <xdr:cNvPr id="12" name="Connector: Elbow 11">
          <a:extLst>
            <a:ext uri="{FF2B5EF4-FFF2-40B4-BE49-F238E27FC236}">
              <a16:creationId xmlns:a16="http://schemas.microsoft.com/office/drawing/2014/main" id="{DB7D1441-8F80-489A-855F-9CDBD411AD37}"/>
            </a:ext>
          </a:extLst>
        </xdr:cNvPr>
        <xdr:cNvCxnSpPr/>
      </xdr:nvCxnSpPr>
      <xdr:spPr>
        <a:xfrm>
          <a:off x="11520249" y="11918155"/>
          <a:ext cx="752237" cy="155735"/>
        </a:xfrm>
        <a:prstGeom prst="bentConnector3">
          <a:avLst>
            <a:gd name="adj1" fmla="val 6625"/>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71</xdr:row>
      <xdr:rowOff>119062</xdr:rowOff>
    </xdr:from>
    <xdr:to>
      <xdr:col>30</xdr:col>
      <xdr:colOff>196453</xdr:colOff>
      <xdr:row>73</xdr:row>
      <xdr:rowOff>71437</xdr:rowOff>
    </xdr:to>
    <xdr:sp macro="" textlink="">
      <xdr:nvSpPr>
        <xdr:cNvPr id="13" name="TextBox 12">
          <a:extLst>
            <a:ext uri="{FF2B5EF4-FFF2-40B4-BE49-F238E27FC236}">
              <a16:creationId xmlns:a16="http://schemas.microsoft.com/office/drawing/2014/main" id="{DBAC60B3-4921-430F-84B7-A93E7FCD3570}"/>
            </a:ext>
          </a:extLst>
        </xdr:cNvPr>
        <xdr:cNvSpPr txBox="1"/>
      </xdr:nvSpPr>
      <xdr:spPr>
        <a:xfrm>
          <a:off x="11879580" y="11930062"/>
          <a:ext cx="592693"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8000" tIns="18000" rIns="18000" bIns="18000" rtlCol="0" anchor="t"/>
        <a:lstStyle/>
        <a:p>
          <a:r>
            <a:rPr lang="en-GB" sz="800">
              <a:solidFill>
                <a:srgbClr val="FF0000"/>
              </a:solidFill>
              <a:latin typeface="Arial" panose="020B0604020202020204" pitchFamily="34" charset="0"/>
              <a:cs typeface="Arial" panose="020B0604020202020204" pitchFamily="34" charset="0"/>
            </a:rPr>
            <a:t>13CrMo4-5</a:t>
          </a:r>
        </a:p>
        <a:p>
          <a:r>
            <a:rPr lang="en-GB" sz="800">
              <a:solidFill>
                <a:srgbClr val="FF0000"/>
              </a:solidFill>
              <a:latin typeface="Arial" panose="020B0604020202020204" pitchFamily="34" charset="0"/>
              <a:cs typeface="Arial" panose="020B0604020202020204" pitchFamily="34" charset="0"/>
            </a:rPr>
            <a:t>16Mo3</a:t>
          </a:r>
        </a:p>
      </xdr:txBody>
    </xdr:sp>
    <xdr:clientData/>
  </xdr:twoCellAnchor>
  <xdr:twoCellAnchor>
    <xdr:from>
      <xdr:col>27</xdr:col>
      <xdr:colOff>250031</xdr:colOff>
      <xdr:row>72</xdr:row>
      <xdr:rowOff>71436</xdr:rowOff>
    </xdr:from>
    <xdr:to>
      <xdr:col>27</xdr:col>
      <xdr:colOff>250031</xdr:colOff>
      <xdr:row>76</xdr:row>
      <xdr:rowOff>0</xdr:rowOff>
    </xdr:to>
    <xdr:cxnSp macro="">
      <xdr:nvCxnSpPr>
        <xdr:cNvPr id="14" name="Straight Connector 13">
          <a:extLst>
            <a:ext uri="{FF2B5EF4-FFF2-40B4-BE49-F238E27FC236}">
              <a16:creationId xmlns:a16="http://schemas.microsoft.com/office/drawing/2014/main" id="{79A4DDA9-C514-40C3-BC14-A595768BF52B}"/>
            </a:ext>
          </a:extLst>
        </xdr:cNvPr>
        <xdr:cNvCxnSpPr/>
      </xdr:nvCxnSpPr>
      <xdr:spPr>
        <a:xfrm flipV="1">
          <a:off x="11337131" y="12050076"/>
          <a:ext cx="0" cy="599124"/>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110728</xdr:colOff>
      <xdr:row>72</xdr:row>
      <xdr:rowOff>57149</xdr:rowOff>
    </xdr:from>
    <xdr:to>
      <xdr:col>27</xdr:col>
      <xdr:colOff>384572</xdr:colOff>
      <xdr:row>76</xdr:row>
      <xdr:rowOff>9524</xdr:rowOff>
    </xdr:to>
    <xdr:sp macro="" textlink="">
      <xdr:nvSpPr>
        <xdr:cNvPr id="15" name="TextBox 14">
          <a:extLst>
            <a:ext uri="{FF2B5EF4-FFF2-40B4-BE49-F238E27FC236}">
              <a16:creationId xmlns:a16="http://schemas.microsoft.com/office/drawing/2014/main" id="{85F72D60-B8FE-43ED-8390-5D9E0F834778}"/>
            </a:ext>
          </a:extLst>
        </xdr:cNvPr>
        <xdr:cNvSpPr txBox="1"/>
      </xdr:nvSpPr>
      <xdr:spPr>
        <a:xfrm rot="16200000">
          <a:off x="11023282" y="12210335"/>
          <a:ext cx="622935" cy="2738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8000" tIns="18000" rIns="18000" bIns="18000" rtlCol="0" anchor="t"/>
        <a:lstStyle/>
        <a:p>
          <a:r>
            <a:rPr lang="en-GB" sz="800">
              <a:solidFill>
                <a:srgbClr val="FF0000"/>
              </a:solidFill>
              <a:latin typeface="Arial" panose="020B0604020202020204" pitchFamily="34" charset="0"/>
              <a:cs typeface="Arial" panose="020B0604020202020204" pitchFamily="34" charset="0"/>
            </a:rPr>
            <a:t>P235GH</a:t>
          </a:r>
        </a:p>
        <a:p>
          <a:r>
            <a:rPr lang="en-GB" sz="800">
              <a:solidFill>
                <a:srgbClr val="FF0000"/>
              </a:solidFill>
              <a:latin typeface="Arial" panose="020B0604020202020204" pitchFamily="34" charset="0"/>
              <a:cs typeface="Arial" panose="020B0604020202020204" pitchFamily="34" charset="0"/>
            </a:rPr>
            <a:t>16Mo3</a:t>
          </a:r>
        </a:p>
      </xdr:txBody>
    </xdr:sp>
    <xdr:clientData/>
  </xdr:twoCellAnchor>
  <xdr:twoCellAnchor>
    <xdr:from>
      <xdr:col>27</xdr:col>
      <xdr:colOff>11906</xdr:colOff>
      <xdr:row>68</xdr:row>
      <xdr:rowOff>89297</xdr:rowOff>
    </xdr:from>
    <xdr:to>
      <xdr:col>28</xdr:col>
      <xdr:colOff>178594</xdr:colOff>
      <xdr:row>68</xdr:row>
      <xdr:rowOff>95250</xdr:rowOff>
    </xdr:to>
    <xdr:cxnSp macro="">
      <xdr:nvCxnSpPr>
        <xdr:cNvPr id="16" name="Straight Connector 15">
          <a:extLst>
            <a:ext uri="{FF2B5EF4-FFF2-40B4-BE49-F238E27FC236}">
              <a16:creationId xmlns:a16="http://schemas.microsoft.com/office/drawing/2014/main" id="{F91EF032-44D4-47DE-8B77-5F5ECC8A3C59}"/>
            </a:ext>
          </a:extLst>
        </xdr:cNvPr>
        <xdr:cNvCxnSpPr/>
      </xdr:nvCxnSpPr>
      <xdr:spPr>
        <a:xfrm flipV="1">
          <a:off x="11099006" y="11397377"/>
          <a:ext cx="562928" cy="5953"/>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3572</xdr:colOff>
      <xdr:row>67</xdr:row>
      <xdr:rowOff>110727</xdr:rowOff>
    </xdr:from>
    <xdr:to>
      <xdr:col>28</xdr:col>
      <xdr:colOff>381001</xdr:colOff>
      <xdr:row>69</xdr:row>
      <xdr:rowOff>63102</xdr:rowOff>
    </xdr:to>
    <xdr:sp macro="" textlink="">
      <xdr:nvSpPr>
        <xdr:cNvPr id="17" name="TextBox 16">
          <a:extLst>
            <a:ext uri="{FF2B5EF4-FFF2-40B4-BE49-F238E27FC236}">
              <a16:creationId xmlns:a16="http://schemas.microsoft.com/office/drawing/2014/main" id="{0251E87A-0024-47BB-AB1D-D71D1DF8FB8E}"/>
            </a:ext>
          </a:extLst>
        </xdr:cNvPr>
        <xdr:cNvSpPr txBox="1"/>
      </xdr:nvSpPr>
      <xdr:spPr>
        <a:xfrm>
          <a:off x="11090672" y="11251167"/>
          <a:ext cx="773669"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8000" tIns="18000" rIns="18000" bIns="18000" rtlCol="0" anchor="t"/>
        <a:lstStyle/>
        <a:p>
          <a:r>
            <a:rPr lang="en-GB" sz="800">
              <a:solidFill>
                <a:srgbClr val="FF0000"/>
              </a:solidFill>
              <a:latin typeface="Arial" panose="020B0604020202020204" pitchFamily="34" charset="0"/>
              <a:cs typeface="Arial" panose="020B0604020202020204" pitchFamily="34" charset="0"/>
            </a:rPr>
            <a:t>16Mo3/P235GH</a:t>
          </a:r>
        </a:p>
        <a:p>
          <a:r>
            <a:rPr lang="en-GB" sz="800">
              <a:solidFill>
                <a:srgbClr val="FF0000"/>
              </a:solidFill>
              <a:latin typeface="Arial" panose="020B0604020202020204" pitchFamily="34" charset="0"/>
              <a:cs typeface="Arial" panose="020B0604020202020204" pitchFamily="34" charset="0"/>
            </a:rPr>
            <a:t>13CrMo4-5</a:t>
          </a:r>
        </a:p>
      </xdr:txBody>
    </xdr:sp>
    <xdr:clientData/>
  </xdr:twoCellAnchor>
  <xdr:twoCellAnchor>
    <xdr:from>
      <xdr:col>29</xdr:col>
      <xdr:colOff>89297</xdr:colOff>
      <xdr:row>66</xdr:row>
      <xdr:rowOff>23813</xdr:rowOff>
    </xdr:from>
    <xdr:to>
      <xdr:col>29</xdr:col>
      <xdr:colOff>165500</xdr:colOff>
      <xdr:row>69</xdr:row>
      <xdr:rowOff>128584</xdr:rowOff>
    </xdr:to>
    <xdr:cxnSp macro="">
      <xdr:nvCxnSpPr>
        <xdr:cNvPr id="18" name="Connector: Elbow 17">
          <a:extLst>
            <a:ext uri="{FF2B5EF4-FFF2-40B4-BE49-F238E27FC236}">
              <a16:creationId xmlns:a16="http://schemas.microsoft.com/office/drawing/2014/main" id="{DF305090-FCCE-49F0-92F8-4BC668B018F9}"/>
            </a:ext>
          </a:extLst>
        </xdr:cNvPr>
        <xdr:cNvCxnSpPr/>
      </xdr:nvCxnSpPr>
      <xdr:spPr>
        <a:xfrm rot="16200000" flipV="1">
          <a:off x="11703133" y="11262357"/>
          <a:ext cx="607691" cy="76203"/>
        </a:xfrm>
        <a:prstGeom prst="bentConnector3">
          <a:avLst>
            <a:gd name="adj1" fmla="val 304"/>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346472</xdr:colOff>
      <xdr:row>65</xdr:row>
      <xdr:rowOff>54768</xdr:rowOff>
    </xdr:from>
    <xdr:to>
      <xdr:col>29</xdr:col>
      <xdr:colOff>244078</xdr:colOff>
      <xdr:row>69</xdr:row>
      <xdr:rowOff>7142</xdr:rowOff>
    </xdr:to>
    <xdr:sp macro="" textlink="">
      <xdr:nvSpPr>
        <xdr:cNvPr id="19" name="TextBox 18">
          <a:extLst>
            <a:ext uri="{FF2B5EF4-FFF2-40B4-BE49-F238E27FC236}">
              <a16:creationId xmlns:a16="http://schemas.microsoft.com/office/drawing/2014/main" id="{29D15466-3655-49C7-9522-027B9B571236}"/>
            </a:ext>
          </a:extLst>
        </xdr:cNvPr>
        <xdr:cNvSpPr txBox="1"/>
      </xdr:nvSpPr>
      <xdr:spPr>
        <a:xfrm rot="16200000">
          <a:off x="11665268" y="11024472"/>
          <a:ext cx="622934" cy="293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8000" tIns="18000" rIns="18000" bIns="18000" rtlCol="0" anchor="t"/>
        <a:lstStyle/>
        <a:p>
          <a:r>
            <a:rPr lang="en-GB" sz="800">
              <a:solidFill>
                <a:srgbClr val="FF0000"/>
              </a:solidFill>
              <a:latin typeface="Arial" panose="020B0604020202020204" pitchFamily="34" charset="0"/>
              <a:cs typeface="Arial" panose="020B0604020202020204" pitchFamily="34" charset="0"/>
            </a:rPr>
            <a:t>13CrMo4-5</a:t>
          </a:r>
        </a:p>
        <a:p>
          <a:r>
            <a:rPr lang="en-GB" sz="800">
              <a:solidFill>
                <a:srgbClr val="FF0000"/>
              </a:solidFill>
              <a:latin typeface="Arial" panose="020B0604020202020204" pitchFamily="34" charset="0"/>
              <a:cs typeface="Arial" panose="020B0604020202020204" pitchFamily="34" charset="0"/>
            </a:rPr>
            <a:t>16Mo3</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do/AppData/Local/Microsoft/Windows/INetCache/IE/BS8QH5G6/50014624_06_DOW%20Template.xls" TargetMode="External"/></Relationships>
</file>

<file path=xl/externalLinks/_rels/externalLink2.xml.rels><?xml version="1.0" encoding="UTF-8" standalone="yes"?>
<Relationships xmlns="http://schemas.openxmlformats.org/package/2006/relationships"><Relationship Id="rId2" Type="http://schemas.microsoft.com/office/2019/04/relationships/externalLinkLongPath" Target="https://hzinova-my.sharepoint.com/personal/dominique_delavy_hz-inova_com/Documents/Documents/Projekt_Westfield/Equi_Detailengineering/Doc's%20Pipe%20Class/Rev.%203.0/TII-HZI-50157884_3.0_TII%20Pipe%20Class%20Manual%20WSC,%20Sheets%20EN.xlsx?BC27B9E8" TargetMode="External"/><Relationship Id="rId1" Type="http://schemas.openxmlformats.org/officeDocument/2006/relationships/externalLinkPath" Target="file:///\\BC27B9E8\TII-HZI-50157884_3.0_TII%20Pipe%20Class%20Manual%20WSC,%20Sheets%20E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sheet"/>
      <sheetName val="Division of Works"/>
      <sheetName val="Makro Werte"/>
      <sheetName val="Makro Werte Dok Typ"/>
      <sheetName val="Instructions"/>
    </sheetNames>
    <sheetDataSet>
      <sheetData sheetId="0" refreshError="1"/>
      <sheetData sheetId="1" refreshError="1"/>
      <sheetData sheetId="2">
        <row r="7">
          <cell r="B7" t="str">
            <v>all</v>
          </cell>
        </row>
      </sheetData>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sheet"/>
      <sheetName val="Pipe Class Sheets"/>
      <sheetName val="Class ECCB"/>
      <sheetName val="Class ECDB"/>
      <sheetName val="Class ECDD"/>
      <sheetName val="Class ECEB"/>
      <sheetName val="Class ECJB"/>
      <sheetName val="Class ECHA"/>
      <sheetName val="Class EDJA"/>
      <sheetName val="Class EDJC"/>
      <sheetName val="Class EBDB"/>
      <sheetName val="Class EHDH"/>
      <sheetName val="Tabelle1"/>
      <sheetName val="Makro Werte Dok Typ"/>
    </sheetNames>
    <sheetDataSet>
      <sheetData sheetId="0">
        <row r="40">
          <cell r="C40" t="str">
            <v>Dominique Delavy</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F826C-04C0-45FF-9FC0-1099664B40D2}">
  <sheetPr codeName="Tabelle8"/>
  <dimension ref="A1:AQ128"/>
  <sheetViews>
    <sheetView tabSelected="1" showWhiteSpace="0" view="pageLayout" topLeftCell="A44" zoomScaleNormal="100" workbookViewId="0">
      <selection activeCell="S29" sqref="S29:S38"/>
    </sheetView>
  </sheetViews>
  <sheetFormatPr defaultColWidth="0" defaultRowHeight="12.75" x14ac:dyDescent="0.2"/>
  <cols>
    <col min="1" max="1" width="14.28515625" style="13" customWidth="1"/>
    <col min="2" max="2" width="3.5703125" style="13" customWidth="1"/>
    <col min="3" max="21" width="5.7109375" style="13" customWidth="1"/>
    <col min="22" max="22" width="4.140625" style="13" customWidth="1"/>
    <col min="23" max="23" width="6.140625" style="13" customWidth="1"/>
    <col min="24" max="42" width="5.7109375" style="13" customWidth="1"/>
    <col min="43" max="59" width="6.140625" style="13" customWidth="1"/>
    <col min="60" max="16384" width="0" style="13" hidden="1"/>
  </cols>
  <sheetData>
    <row r="1" spans="1:43" ht="13.15" customHeight="1" x14ac:dyDescent="0.2">
      <c r="A1" s="73"/>
      <c r="B1" s="72"/>
      <c r="C1" s="72"/>
      <c r="D1" s="71"/>
      <c r="E1" s="16"/>
      <c r="F1" s="16"/>
      <c r="G1" s="16"/>
      <c r="H1" s="16"/>
      <c r="I1" s="16"/>
      <c r="J1" s="16"/>
      <c r="K1" s="114" t="s">
        <v>253</v>
      </c>
      <c r="L1" s="116"/>
      <c r="M1" s="70"/>
      <c r="N1" s="16"/>
      <c r="O1" s="16"/>
      <c r="P1" s="16"/>
      <c r="Q1" s="69"/>
      <c r="R1" s="68" t="s">
        <v>230</v>
      </c>
      <c r="S1" s="68"/>
      <c r="T1" s="67" t="s">
        <v>343</v>
      </c>
      <c r="U1" s="66"/>
      <c r="V1" s="162"/>
      <c r="W1" s="16"/>
      <c r="X1" s="72"/>
      <c r="Y1" s="72"/>
      <c r="Z1" s="71"/>
      <c r="AA1" s="16"/>
      <c r="AB1" s="16"/>
      <c r="AC1" s="16"/>
      <c r="AD1" s="16"/>
      <c r="AE1" s="16"/>
      <c r="AF1" s="231"/>
      <c r="AG1" s="230" t="s">
        <v>253</v>
      </c>
      <c r="AH1" s="116"/>
      <c r="AI1" s="70"/>
      <c r="AJ1" s="16"/>
      <c r="AK1" s="16"/>
      <c r="AL1" s="16"/>
      <c r="AM1" s="69"/>
      <c r="AN1" s="68" t="s">
        <v>230</v>
      </c>
      <c r="AO1" s="68"/>
      <c r="AP1" s="67" t="str">
        <f>T1</f>
        <v>3E0 (1.0345)</v>
      </c>
      <c r="AQ1" s="66"/>
    </row>
    <row r="2" spans="1:43" ht="13.15" customHeight="1" x14ac:dyDescent="0.2">
      <c r="A2" s="63" t="s">
        <v>276</v>
      </c>
      <c r="B2" s="61"/>
      <c r="C2" s="62" t="s">
        <v>375</v>
      </c>
      <c r="D2" s="61"/>
      <c r="E2" s="60"/>
      <c r="F2" s="60"/>
      <c r="G2" s="60"/>
      <c r="H2" s="60"/>
      <c r="I2" s="60"/>
      <c r="J2" s="59"/>
      <c r="K2" s="100" t="s">
        <v>232</v>
      </c>
      <c r="L2" s="74"/>
      <c r="M2" s="81"/>
      <c r="N2" s="65"/>
      <c r="O2" s="65"/>
      <c r="P2" s="65"/>
      <c r="Q2" s="58" t="s">
        <v>231</v>
      </c>
      <c r="R2" s="65" t="s">
        <v>252</v>
      </c>
      <c r="S2" s="65"/>
      <c r="T2" s="81" t="s">
        <v>374</v>
      </c>
      <c r="U2" s="64"/>
      <c r="V2" s="19" t="s">
        <v>276</v>
      </c>
      <c r="W2" s="60"/>
      <c r="X2" s="61"/>
      <c r="Y2" s="62" t="str">
        <f>C2</f>
        <v>Condensate &amp; Saturated Steam (T &lt; 400°C)</v>
      </c>
      <c r="Z2" s="61"/>
      <c r="AA2" s="60"/>
      <c r="AB2" s="60"/>
      <c r="AC2" s="60"/>
      <c r="AD2" s="60"/>
      <c r="AE2" s="60"/>
      <c r="AF2" s="130"/>
      <c r="AG2" s="81" t="s">
        <v>232</v>
      </c>
      <c r="AH2" s="74"/>
      <c r="AI2" s="81"/>
      <c r="AJ2" s="65"/>
      <c r="AK2" s="65"/>
      <c r="AL2" s="65">
        <f>P2</f>
        <v>0</v>
      </c>
      <c r="AM2" s="58" t="s">
        <v>231</v>
      </c>
      <c r="AN2" s="65" t="s">
        <v>252</v>
      </c>
      <c r="AO2" s="65"/>
      <c r="AP2" s="81" t="str">
        <f>T2</f>
        <v>EN PN10</v>
      </c>
      <c r="AQ2" s="64"/>
    </row>
    <row r="3" spans="1:43" ht="13.15" customHeight="1" x14ac:dyDescent="0.2">
      <c r="A3" s="63"/>
      <c r="B3" s="61"/>
      <c r="C3" s="62"/>
      <c r="D3" s="61"/>
      <c r="E3" s="60"/>
      <c r="F3" s="60"/>
      <c r="G3" s="60"/>
      <c r="H3" s="60"/>
      <c r="I3" s="60"/>
      <c r="J3" s="59"/>
      <c r="K3" s="100" t="s">
        <v>233</v>
      </c>
      <c r="L3" s="75"/>
      <c r="M3" s="101"/>
      <c r="N3" s="65"/>
      <c r="O3" s="65"/>
      <c r="P3" s="65"/>
      <c r="Q3" s="58" t="s">
        <v>223</v>
      </c>
      <c r="R3" s="76" t="s">
        <v>229</v>
      </c>
      <c r="S3" s="77"/>
      <c r="T3" s="81" t="s">
        <v>425</v>
      </c>
      <c r="U3" s="57"/>
      <c r="V3" s="51"/>
      <c r="W3" s="80"/>
      <c r="X3" s="61"/>
      <c r="Y3" s="62"/>
      <c r="Z3" s="61"/>
      <c r="AA3" s="60"/>
      <c r="AB3" s="60"/>
      <c r="AC3" s="60"/>
      <c r="AD3" s="60"/>
      <c r="AE3" s="60"/>
      <c r="AF3" s="130"/>
      <c r="AG3" s="81" t="s">
        <v>233</v>
      </c>
      <c r="AH3" s="75"/>
      <c r="AI3" s="101"/>
      <c r="AJ3" s="65"/>
      <c r="AK3" s="65"/>
      <c r="AL3" s="65">
        <f>P3</f>
        <v>0</v>
      </c>
      <c r="AM3" s="58" t="s">
        <v>223</v>
      </c>
      <c r="AN3" s="76" t="s">
        <v>229</v>
      </c>
      <c r="AO3" s="77"/>
      <c r="AP3" s="81" t="str">
        <f>T3</f>
        <v>welded</v>
      </c>
      <c r="AQ3" s="57"/>
    </row>
    <row r="4" spans="1:43" ht="13.15" customHeight="1" thickBot="1" x14ac:dyDescent="0.25">
      <c r="A4" s="56"/>
      <c r="B4" s="55"/>
      <c r="C4" s="55"/>
      <c r="D4" s="54"/>
      <c r="E4" s="53"/>
      <c r="F4" s="53"/>
      <c r="G4" s="53"/>
      <c r="H4" s="14"/>
      <c r="I4" s="14"/>
      <c r="J4" s="52"/>
      <c r="K4" s="60" t="s">
        <v>226</v>
      </c>
      <c r="L4" s="81"/>
      <c r="M4" s="102"/>
      <c r="N4" s="60"/>
      <c r="O4" s="60"/>
      <c r="P4" s="60"/>
      <c r="Q4" s="211" t="s">
        <v>235</v>
      </c>
      <c r="R4" s="82" t="s">
        <v>234</v>
      </c>
      <c r="S4" s="83"/>
      <c r="T4" s="113" t="s">
        <v>465</v>
      </c>
      <c r="U4" s="79"/>
      <c r="V4" s="119"/>
      <c r="W4" s="166"/>
      <c r="X4" s="55"/>
      <c r="Y4" s="55"/>
      <c r="Z4" s="54"/>
      <c r="AA4" s="53"/>
      <c r="AB4" s="53"/>
      <c r="AC4" s="53"/>
      <c r="AD4" s="14"/>
      <c r="AE4" s="14"/>
      <c r="AF4" s="232"/>
      <c r="AG4" s="60" t="s">
        <v>226</v>
      </c>
      <c r="AH4" s="81"/>
      <c r="AI4" s="102"/>
      <c r="AJ4" s="60"/>
      <c r="AK4" s="60"/>
      <c r="AL4" s="336">
        <f>P4</f>
        <v>0</v>
      </c>
      <c r="AM4" s="58" t="s">
        <v>235</v>
      </c>
      <c r="AN4" s="82" t="s">
        <v>234</v>
      </c>
      <c r="AO4" s="83"/>
      <c r="AP4" s="113" t="str">
        <f>T4</f>
        <v>ECCB</v>
      </c>
      <c r="AQ4" s="79"/>
    </row>
    <row r="5" spans="1:43" ht="13.15" customHeight="1" x14ac:dyDescent="0.2">
      <c r="A5" s="51" t="s">
        <v>225</v>
      </c>
      <c r="B5" s="80"/>
      <c r="C5" s="50" t="s">
        <v>224</v>
      </c>
      <c r="D5" s="49" t="s">
        <v>223</v>
      </c>
      <c r="E5" s="48"/>
      <c r="F5" s="47" t="s">
        <v>303</v>
      </c>
      <c r="G5" s="47">
        <v>100</v>
      </c>
      <c r="H5" s="47">
        <v>150</v>
      </c>
      <c r="I5" s="47">
        <v>200</v>
      </c>
      <c r="J5" s="47">
        <v>250</v>
      </c>
      <c r="K5" s="157">
        <v>300</v>
      </c>
      <c r="L5" s="195">
        <v>350</v>
      </c>
      <c r="M5" s="205">
        <v>400</v>
      </c>
      <c r="N5" s="177"/>
      <c r="O5" s="176"/>
      <c r="P5" s="104"/>
      <c r="Q5" s="215"/>
      <c r="R5" s="301">
        <v>300</v>
      </c>
      <c r="S5" s="107"/>
      <c r="T5" s="107"/>
      <c r="U5" s="105"/>
      <c r="V5" s="19" t="s">
        <v>225</v>
      </c>
      <c r="W5" s="80"/>
      <c r="X5" s="80"/>
      <c r="Y5" s="50" t="s">
        <v>224</v>
      </c>
      <c r="Z5" s="49" t="s">
        <v>223</v>
      </c>
      <c r="AA5" s="48"/>
      <c r="AB5" s="47" t="s">
        <v>303</v>
      </c>
      <c r="AC5" s="47">
        <v>100</v>
      </c>
      <c r="AD5" s="47">
        <v>150</v>
      </c>
      <c r="AE5" s="47">
        <v>200</v>
      </c>
      <c r="AF5" s="47">
        <v>250</v>
      </c>
      <c r="AG5" s="157">
        <v>300</v>
      </c>
      <c r="AH5" s="195">
        <v>350</v>
      </c>
      <c r="AI5" s="205">
        <v>400</v>
      </c>
      <c r="AJ5" s="177"/>
      <c r="AK5" s="176"/>
      <c r="AL5" s="107"/>
      <c r="AM5" s="215"/>
      <c r="AN5" s="301">
        <v>300</v>
      </c>
      <c r="AO5" s="107"/>
      <c r="AP5" s="107"/>
      <c r="AQ5" s="105"/>
    </row>
    <row r="6" spans="1:43" ht="20.25" customHeight="1" x14ac:dyDescent="0.2">
      <c r="A6" s="51"/>
      <c r="B6" s="80"/>
      <c r="C6" s="185" t="s">
        <v>285</v>
      </c>
      <c r="D6" s="186" t="s">
        <v>235</v>
      </c>
      <c r="E6" s="187" t="s">
        <v>502</v>
      </c>
      <c r="F6" s="188">
        <v>10</v>
      </c>
      <c r="G6" s="387" t="s">
        <v>614</v>
      </c>
      <c r="H6" s="387" t="s">
        <v>615</v>
      </c>
      <c r="I6" s="387" t="s">
        <v>616</v>
      </c>
      <c r="J6" s="387" t="s">
        <v>617</v>
      </c>
      <c r="K6" s="388" t="s">
        <v>618</v>
      </c>
      <c r="L6" s="390" t="s">
        <v>619</v>
      </c>
      <c r="M6" s="389" t="s">
        <v>620</v>
      </c>
      <c r="N6" s="686" t="s">
        <v>613</v>
      </c>
      <c r="O6" s="687"/>
      <c r="P6" s="189"/>
      <c r="Q6" s="216"/>
      <c r="R6" s="302">
        <v>0.5</v>
      </c>
      <c r="S6" s="190"/>
      <c r="T6" s="190"/>
      <c r="U6" s="191"/>
      <c r="V6" s="21"/>
      <c r="X6" s="80"/>
      <c r="Y6" s="185" t="s">
        <v>285</v>
      </c>
      <c r="Z6" s="186" t="s">
        <v>235</v>
      </c>
      <c r="AA6" s="187" t="s">
        <v>502</v>
      </c>
      <c r="AB6" s="188">
        <v>10</v>
      </c>
      <c r="AC6" s="387" t="s">
        <v>614</v>
      </c>
      <c r="AD6" s="387" t="s">
        <v>615</v>
      </c>
      <c r="AE6" s="387" t="s">
        <v>616</v>
      </c>
      <c r="AF6" s="387" t="s">
        <v>617</v>
      </c>
      <c r="AG6" s="388" t="s">
        <v>618</v>
      </c>
      <c r="AH6" s="390" t="s">
        <v>619</v>
      </c>
      <c r="AI6" s="389" t="s">
        <v>620</v>
      </c>
      <c r="AJ6" s="686" t="s">
        <v>613</v>
      </c>
      <c r="AK6" s="687"/>
      <c r="AL6" s="189"/>
      <c r="AM6" s="216"/>
      <c r="AN6" s="302">
        <v>0.5</v>
      </c>
      <c r="AO6" s="190"/>
      <c r="AP6" s="190"/>
      <c r="AQ6" s="191"/>
    </row>
    <row r="7" spans="1:43" ht="12.75" customHeight="1" thickBot="1" x14ac:dyDescent="0.25">
      <c r="A7" s="46"/>
      <c r="B7" s="193"/>
      <c r="C7" s="671" t="s">
        <v>284</v>
      </c>
      <c r="D7" s="672"/>
      <c r="E7" s="45"/>
      <c r="F7" s="673" t="s">
        <v>286</v>
      </c>
      <c r="G7" s="674"/>
      <c r="H7" s="674"/>
      <c r="I7" s="674"/>
      <c r="J7" s="674"/>
      <c r="K7" s="674"/>
      <c r="L7" s="236" t="s">
        <v>287</v>
      </c>
      <c r="M7" s="234"/>
      <c r="N7" s="202"/>
      <c r="O7" s="213"/>
      <c r="P7" s="213"/>
      <c r="Q7" s="213"/>
      <c r="R7" s="201"/>
      <c r="S7" s="202"/>
      <c r="T7" s="202"/>
      <c r="U7" s="106"/>
      <c r="V7" s="121"/>
      <c r="W7" s="143"/>
      <c r="X7" s="193"/>
      <c r="Y7" s="671" t="s">
        <v>284</v>
      </c>
      <c r="Z7" s="672"/>
      <c r="AA7" s="45"/>
      <c r="AB7" s="673" t="s">
        <v>286</v>
      </c>
      <c r="AC7" s="674"/>
      <c r="AD7" s="674"/>
      <c r="AE7" s="674"/>
      <c r="AF7" s="674"/>
      <c r="AG7" s="674"/>
      <c r="AH7" s="236" t="s">
        <v>287</v>
      </c>
      <c r="AI7" s="234"/>
      <c r="AJ7" s="202"/>
      <c r="AK7" s="213"/>
      <c r="AL7" s="213"/>
      <c r="AM7" s="213"/>
      <c r="AN7" s="201"/>
      <c r="AO7" s="202"/>
      <c r="AP7" s="202"/>
      <c r="AQ7" s="106"/>
    </row>
    <row r="8" spans="1:43" ht="13.15" customHeight="1" x14ac:dyDescent="0.2">
      <c r="A8" s="413" t="s">
        <v>633</v>
      </c>
      <c r="B8" s="158" t="s">
        <v>220</v>
      </c>
      <c r="C8" s="269">
        <v>15</v>
      </c>
      <c r="D8" s="472"/>
      <c r="E8" s="268"/>
      <c r="F8" s="268"/>
      <c r="G8" s="268"/>
      <c r="H8" s="268"/>
      <c r="I8" s="253">
        <v>450</v>
      </c>
      <c r="J8" s="298">
        <v>500</v>
      </c>
      <c r="K8" s="298">
        <v>600</v>
      </c>
      <c r="L8" s="299">
        <v>700</v>
      </c>
      <c r="M8" s="299">
        <v>800</v>
      </c>
      <c r="N8" s="299">
        <v>900</v>
      </c>
      <c r="O8" s="300">
        <v>1000</v>
      </c>
      <c r="P8" s="299">
        <v>1200</v>
      </c>
      <c r="Q8" s="38"/>
      <c r="R8" s="78"/>
      <c r="S8" s="38"/>
      <c r="T8" s="38"/>
      <c r="U8" s="37"/>
      <c r="V8" s="149"/>
      <c r="W8" s="167"/>
      <c r="X8" s="103"/>
      <c r="Y8" s="103"/>
      <c r="Z8" s="103"/>
      <c r="AA8" s="103"/>
      <c r="AB8" s="103"/>
      <c r="AC8" s="103"/>
      <c r="AD8" s="103"/>
      <c r="AE8" s="103"/>
      <c r="AF8" s="103"/>
      <c r="AG8" s="103"/>
      <c r="AH8" s="103"/>
      <c r="AI8" s="103"/>
      <c r="AJ8" s="103"/>
      <c r="AK8" s="103"/>
      <c r="AL8" s="103"/>
      <c r="AM8" s="103"/>
      <c r="AN8" s="103"/>
      <c r="AO8" s="103"/>
      <c r="AP8" s="103"/>
      <c r="AQ8" s="145"/>
    </row>
    <row r="9" spans="1:43" ht="13.15" customHeight="1" x14ac:dyDescent="0.2">
      <c r="A9" s="416" t="s">
        <v>634</v>
      </c>
      <c r="B9" s="293" t="s">
        <v>222</v>
      </c>
      <c r="C9" s="402"/>
      <c r="D9" s="34"/>
      <c r="E9" s="34"/>
      <c r="F9" s="252"/>
      <c r="G9" s="252"/>
      <c r="H9" s="252"/>
      <c r="I9" s="34"/>
      <c r="J9" s="34">
        <v>508</v>
      </c>
      <c r="K9" s="34">
        <v>610</v>
      </c>
      <c r="L9" s="34">
        <v>711</v>
      </c>
      <c r="M9" s="34">
        <v>813</v>
      </c>
      <c r="N9" s="34">
        <v>914</v>
      </c>
      <c r="O9" s="254">
        <v>1016</v>
      </c>
      <c r="P9" s="34">
        <v>1219</v>
      </c>
      <c r="Q9" s="34"/>
      <c r="R9" s="34"/>
      <c r="S9" s="34"/>
      <c r="T9" s="34"/>
      <c r="U9" s="41"/>
      <c r="V9" s="150"/>
      <c r="W9" s="168"/>
      <c r="AQ9" s="89"/>
    </row>
    <row r="10" spans="1:43" ht="13.15" customHeight="1" x14ac:dyDescent="0.2">
      <c r="A10" s="417" t="s">
        <v>635</v>
      </c>
      <c r="B10" s="294" t="s">
        <v>222</v>
      </c>
      <c r="C10" s="678" t="s">
        <v>542</v>
      </c>
      <c r="D10" s="662"/>
      <c r="E10" s="662"/>
      <c r="F10" s="662"/>
      <c r="G10" s="662"/>
      <c r="H10" s="662"/>
      <c r="I10" s="663"/>
      <c r="J10" s="240">
        <v>6.3</v>
      </c>
      <c r="K10" s="239">
        <v>6.3</v>
      </c>
      <c r="L10" s="239">
        <v>7.1</v>
      </c>
      <c r="M10" s="239">
        <v>8</v>
      </c>
      <c r="N10" s="240">
        <v>10</v>
      </c>
      <c r="O10" s="240">
        <v>10</v>
      </c>
      <c r="P10" s="239">
        <v>10</v>
      </c>
      <c r="Q10" s="239"/>
      <c r="R10" s="239"/>
      <c r="S10" s="240"/>
      <c r="T10" s="239"/>
      <c r="U10" s="241"/>
      <c r="V10" s="151"/>
      <c r="W10" s="169"/>
      <c r="AQ10" s="89"/>
    </row>
    <row r="11" spans="1:43" ht="13.15" customHeight="1" x14ac:dyDescent="0.2">
      <c r="A11" s="84" t="s">
        <v>636</v>
      </c>
      <c r="B11" s="295" t="s">
        <v>236</v>
      </c>
      <c r="C11" s="679"/>
      <c r="D11" s="665"/>
      <c r="E11" s="665"/>
      <c r="F11" s="665"/>
      <c r="G11" s="665"/>
      <c r="H11" s="665"/>
      <c r="I11" s="666"/>
      <c r="J11" s="675" t="s">
        <v>302</v>
      </c>
      <c r="K11" s="676"/>
      <c r="L11" s="676"/>
      <c r="M11" s="676"/>
      <c r="N11" s="676"/>
      <c r="O11" s="676"/>
      <c r="P11" s="677"/>
      <c r="Q11" s="247"/>
      <c r="R11" s="247"/>
      <c r="S11" s="247"/>
      <c r="T11" s="247"/>
      <c r="U11" s="262"/>
      <c r="V11" s="21"/>
      <c r="AQ11" s="89"/>
    </row>
    <row r="12" spans="1:43" ht="13.15" customHeight="1" thickBot="1" x14ac:dyDescent="0.25">
      <c r="A12" s="419" t="s">
        <v>637</v>
      </c>
      <c r="B12" s="296" t="s">
        <v>222</v>
      </c>
      <c r="C12" s="680"/>
      <c r="D12" s="681"/>
      <c r="E12" s="681"/>
      <c r="F12" s="681"/>
      <c r="G12" s="681"/>
      <c r="H12" s="681"/>
      <c r="I12" s="682"/>
      <c r="J12" s="255">
        <f t="shared" ref="J12:U12" si="0">J9-2*J10</f>
        <v>495.4</v>
      </c>
      <c r="K12" s="39">
        <f t="shared" si="0"/>
        <v>597.4</v>
      </c>
      <c r="L12" s="39">
        <f t="shared" si="0"/>
        <v>696.8</v>
      </c>
      <c r="M12" s="39">
        <f t="shared" si="0"/>
        <v>797</v>
      </c>
      <c r="N12" s="39">
        <f t="shared" si="0"/>
        <v>894</v>
      </c>
      <c r="O12" s="255">
        <f t="shared" si="0"/>
        <v>996</v>
      </c>
      <c r="P12" s="39">
        <f t="shared" si="0"/>
        <v>1199</v>
      </c>
      <c r="Q12" s="39">
        <f t="shared" si="0"/>
        <v>0</v>
      </c>
      <c r="R12" s="39">
        <f t="shared" si="0"/>
        <v>0</v>
      </c>
      <c r="S12" s="39">
        <f t="shared" si="0"/>
        <v>0</v>
      </c>
      <c r="T12" s="39">
        <f t="shared" si="0"/>
        <v>0</v>
      </c>
      <c r="U12" s="87">
        <f t="shared" si="0"/>
        <v>0</v>
      </c>
      <c r="V12" s="21"/>
      <c r="AQ12" s="89"/>
    </row>
    <row r="13" spans="1:43" ht="13.15" customHeight="1" x14ac:dyDescent="0.2">
      <c r="A13" s="413" t="s">
        <v>638</v>
      </c>
      <c r="B13" s="158" t="s">
        <v>220</v>
      </c>
      <c r="C13" s="270">
        <v>15</v>
      </c>
      <c r="D13" s="472"/>
      <c r="E13" s="473"/>
      <c r="F13" s="268"/>
      <c r="G13" s="268"/>
      <c r="H13" s="268"/>
      <c r="I13" s="253">
        <v>450</v>
      </c>
      <c r="J13" s="38">
        <v>500</v>
      </c>
      <c r="K13" s="38">
        <v>600</v>
      </c>
      <c r="L13" s="38">
        <v>700</v>
      </c>
      <c r="M13" s="38">
        <v>800</v>
      </c>
      <c r="N13" s="38">
        <v>900</v>
      </c>
      <c r="O13" s="253">
        <v>1000</v>
      </c>
      <c r="P13" s="38">
        <v>1200</v>
      </c>
      <c r="Q13" s="38"/>
      <c r="R13" s="78"/>
      <c r="S13" s="38"/>
      <c r="T13" s="38"/>
      <c r="U13" s="37"/>
      <c r="V13" s="21"/>
      <c r="AQ13" s="89"/>
    </row>
    <row r="14" spans="1:43" ht="13.15" customHeight="1" x14ac:dyDescent="0.2">
      <c r="A14" s="416" t="s">
        <v>639</v>
      </c>
      <c r="B14" s="297" t="s">
        <v>222</v>
      </c>
      <c r="C14" s="683" t="s">
        <v>542</v>
      </c>
      <c r="D14" s="684"/>
      <c r="E14" s="684"/>
      <c r="F14" s="684"/>
      <c r="G14" s="684"/>
      <c r="H14" s="684"/>
      <c r="I14" s="685"/>
      <c r="J14" s="34">
        <v>508</v>
      </c>
      <c r="K14" s="34">
        <v>610</v>
      </c>
      <c r="L14" s="34">
        <v>711</v>
      </c>
      <c r="M14" s="34">
        <v>813</v>
      </c>
      <c r="N14" s="34">
        <v>914</v>
      </c>
      <c r="O14" s="254">
        <v>1016</v>
      </c>
      <c r="P14" s="34">
        <v>1219</v>
      </c>
      <c r="Q14" s="34"/>
      <c r="R14" s="34"/>
      <c r="S14" s="34"/>
      <c r="T14" s="34"/>
      <c r="U14" s="41"/>
      <c r="V14" s="21"/>
      <c r="AQ14" s="89"/>
    </row>
    <row r="15" spans="1:43" ht="13.15" customHeight="1" x14ac:dyDescent="0.2">
      <c r="A15" s="417" t="s">
        <v>640</v>
      </c>
      <c r="B15" s="294" t="s">
        <v>222</v>
      </c>
      <c r="C15" s="679"/>
      <c r="D15" s="665"/>
      <c r="E15" s="665"/>
      <c r="F15" s="665"/>
      <c r="G15" s="665"/>
      <c r="H15" s="665"/>
      <c r="I15" s="666"/>
      <c r="J15" s="240">
        <v>6.3</v>
      </c>
      <c r="K15" s="239">
        <v>6.3</v>
      </c>
      <c r="L15" s="239">
        <v>7.1</v>
      </c>
      <c r="M15" s="239">
        <v>8</v>
      </c>
      <c r="N15" s="240">
        <v>10</v>
      </c>
      <c r="O15" s="240">
        <v>10</v>
      </c>
      <c r="P15" s="239">
        <v>10</v>
      </c>
      <c r="Q15" s="239"/>
      <c r="R15" s="239"/>
      <c r="S15" s="240"/>
      <c r="T15" s="239"/>
      <c r="U15" s="241"/>
      <c r="V15" s="21"/>
      <c r="AQ15" s="89"/>
    </row>
    <row r="16" spans="1:43" ht="13.15" customHeight="1" thickBot="1" x14ac:dyDescent="0.25">
      <c r="A16" s="419" t="s">
        <v>641</v>
      </c>
      <c r="B16" s="296" t="s">
        <v>222</v>
      </c>
      <c r="C16" s="680"/>
      <c r="D16" s="681"/>
      <c r="E16" s="681"/>
      <c r="F16" s="681"/>
      <c r="G16" s="681"/>
      <c r="H16" s="681"/>
      <c r="I16" s="682"/>
      <c r="J16" s="319">
        <v>1</v>
      </c>
      <c r="K16" s="319">
        <v>1</v>
      </c>
      <c r="L16" s="319">
        <v>1</v>
      </c>
      <c r="M16" s="319">
        <v>1</v>
      </c>
      <c r="N16" s="319">
        <v>1</v>
      </c>
      <c r="O16" s="319">
        <v>1</v>
      </c>
      <c r="P16" s="319">
        <v>1</v>
      </c>
      <c r="Q16" s="314"/>
      <c r="R16" s="314"/>
      <c r="S16" s="314"/>
      <c r="T16" s="314"/>
      <c r="U16" s="315"/>
      <c r="V16" s="21"/>
      <c r="AO16"/>
      <c r="AQ16" s="89"/>
    </row>
    <row r="17" spans="1:43" ht="13.15" customHeight="1" x14ac:dyDescent="0.2">
      <c r="A17" s="31" t="s">
        <v>221</v>
      </c>
      <c r="B17" s="422"/>
      <c r="C17" s="631" t="s">
        <v>220</v>
      </c>
      <c r="D17" s="632"/>
      <c r="E17" s="633" t="s">
        <v>197</v>
      </c>
      <c r="F17" s="634"/>
      <c r="G17" s="634"/>
      <c r="H17" s="634"/>
      <c r="I17" s="634"/>
      <c r="J17" s="634"/>
      <c r="K17" s="635" t="s">
        <v>241</v>
      </c>
      <c r="L17" s="634"/>
      <c r="M17" s="634"/>
      <c r="N17" s="636"/>
      <c r="O17" s="656" t="s">
        <v>243</v>
      </c>
      <c r="P17" s="656" t="s">
        <v>242</v>
      </c>
      <c r="Q17" s="637" t="s">
        <v>244</v>
      </c>
      <c r="R17" s="638"/>
      <c r="S17" s="633" t="s">
        <v>245</v>
      </c>
      <c r="T17" s="639"/>
      <c r="U17" s="640"/>
      <c r="V17" s="21"/>
      <c r="AQ17" s="89"/>
    </row>
    <row r="18" spans="1:43" ht="13.15" customHeight="1" x14ac:dyDescent="0.2">
      <c r="A18" s="20"/>
      <c r="B18" s="424"/>
      <c r="C18" s="30" t="s">
        <v>219</v>
      </c>
      <c r="D18" s="30" t="s">
        <v>218</v>
      </c>
      <c r="E18" s="554"/>
      <c r="F18" s="555"/>
      <c r="G18" s="555"/>
      <c r="H18" s="555"/>
      <c r="I18" s="555"/>
      <c r="J18" s="555"/>
      <c r="K18" s="558"/>
      <c r="L18" s="555"/>
      <c r="M18" s="555"/>
      <c r="N18" s="556"/>
      <c r="O18" s="555"/>
      <c r="P18" s="555"/>
      <c r="Q18" s="555"/>
      <c r="R18" s="555"/>
      <c r="S18" s="641"/>
      <c r="T18" s="642"/>
      <c r="U18" s="643"/>
      <c r="V18" s="172"/>
      <c r="W18" s="168"/>
      <c r="X18" s="659" t="s">
        <v>288</v>
      </c>
      <c r="Y18" s="670"/>
      <c r="Z18" s="670"/>
      <c r="AA18" s="670"/>
      <c r="AB18" s="670"/>
      <c r="AC18" s="670"/>
      <c r="AD18" s="670"/>
      <c r="AE18" s="670"/>
      <c r="AF18" s="670"/>
      <c r="AG18" s="670"/>
      <c r="AH18" s="670"/>
      <c r="AI18" s="670"/>
      <c r="AJ18" s="670"/>
      <c r="AK18" s="670"/>
      <c r="AL18" s="670"/>
      <c r="AM18" s="670"/>
      <c r="AN18" s="670"/>
      <c r="AQ18" s="89"/>
    </row>
    <row r="19" spans="1:43" ht="13.15" customHeight="1" x14ac:dyDescent="0.2">
      <c r="A19" s="19" t="s">
        <v>217</v>
      </c>
      <c r="B19" s="60"/>
      <c r="C19" s="490">
        <v>500</v>
      </c>
      <c r="D19" s="490">
        <v>600</v>
      </c>
      <c r="E19" s="561" t="s">
        <v>695</v>
      </c>
      <c r="F19" s="562"/>
      <c r="G19" s="562"/>
      <c r="H19" s="562"/>
      <c r="I19" s="562"/>
      <c r="J19" s="563"/>
      <c r="K19" s="564" t="s">
        <v>697</v>
      </c>
      <c r="L19" s="649"/>
      <c r="M19" s="649"/>
      <c r="N19" s="650"/>
      <c r="O19" s="97" t="s">
        <v>236</v>
      </c>
      <c r="P19" s="97" t="s">
        <v>484</v>
      </c>
      <c r="Q19" s="651" t="s">
        <v>376</v>
      </c>
      <c r="R19" s="626"/>
      <c r="S19" s="93" t="s">
        <v>696</v>
      </c>
      <c r="U19" s="89"/>
      <c r="V19" s="657" t="s">
        <v>274</v>
      </c>
      <c r="W19" s="1">
        <v>15</v>
      </c>
      <c r="X19" s="275"/>
      <c r="Y19" s="137"/>
      <c r="Z19" s="137"/>
      <c r="AA19" s="137"/>
      <c r="AB19" s="137"/>
      <c r="AC19" s="137"/>
      <c r="AD19" s="137"/>
      <c r="AE19" s="137"/>
      <c r="AF19" s="137"/>
      <c r="AG19" s="137"/>
      <c r="AH19" s="137"/>
      <c r="AI19" s="137"/>
      <c r="AJ19" s="137"/>
      <c r="AK19" s="137"/>
      <c r="AL19" s="138"/>
      <c r="AM19" s="138"/>
      <c r="AN19"/>
      <c r="AQ19" s="89"/>
    </row>
    <row r="20" spans="1:43" ht="13.15" customHeight="1" x14ac:dyDescent="0.2">
      <c r="A20" s="19"/>
      <c r="B20" s="60"/>
      <c r="C20" s="489">
        <v>700</v>
      </c>
      <c r="D20" s="489">
        <v>1200</v>
      </c>
      <c r="E20" s="583" t="s">
        <v>695</v>
      </c>
      <c r="F20" s="549"/>
      <c r="G20" s="549"/>
      <c r="H20" s="549"/>
      <c r="I20" s="549"/>
      <c r="J20" s="550"/>
      <c r="K20" s="584" t="s">
        <v>697</v>
      </c>
      <c r="L20" s="549"/>
      <c r="M20" s="549"/>
      <c r="N20" s="550"/>
      <c r="O20" s="98" t="s">
        <v>236</v>
      </c>
      <c r="P20" s="98" t="s">
        <v>484</v>
      </c>
      <c r="Q20" s="652" t="s">
        <v>376</v>
      </c>
      <c r="R20" s="586"/>
      <c r="S20" s="93" t="s">
        <v>696</v>
      </c>
      <c r="U20" s="89"/>
      <c r="V20" s="658"/>
      <c r="W20" s="118">
        <v>25</v>
      </c>
      <c r="X20" s="272"/>
      <c r="Y20" s="276"/>
      <c r="Z20" s="137"/>
      <c r="AA20" s="137"/>
      <c r="AB20" s="137"/>
      <c r="AC20" s="137"/>
      <c r="AD20" s="137"/>
      <c r="AE20" s="137"/>
      <c r="AF20" s="137"/>
      <c r="AG20" s="137"/>
      <c r="AH20" s="137"/>
      <c r="AI20" s="137"/>
      <c r="AJ20" s="137"/>
      <c r="AK20" s="137"/>
      <c r="AL20" s="138"/>
      <c r="AM20" s="138"/>
      <c r="AQ20" s="89"/>
    </row>
    <row r="21" spans="1:43" ht="13.15" customHeight="1" x14ac:dyDescent="0.2">
      <c r="A21" s="19"/>
      <c r="B21" s="60"/>
      <c r="C21" s="24"/>
      <c r="D21" s="24"/>
      <c r="E21" s="583"/>
      <c r="F21" s="549"/>
      <c r="G21" s="549"/>
      <c r="H21" s="549"/>
      <c r="I21" s="549"/>
      <c r="J21" s="550"/>
      <c r="K21" s="584"/>
      <c r="L21" s="549"/>
      <c r="M21" s="549"/>
      <c r="N21" s="550"/>
      <c r="O21" s="98"/>
      <c r="P21" s="98"/>
      <c r="Q21" s="652"/>
      <c r="R21" s="586"/>
      <c r="S21" s="88"/>
      <c r="U21" s="89"/>
      <c r="V21" s="658"/>
      <c r="W21" s="118">
        <v>40</v>
      </c>
      <c r="X21" s="272"/>
      <c r="Y21" s="277"/>
      <c r="Z21" s="276"/>
      <c r="AA21" s="137"/>
      <c r="AB21" s="137"/>
      <c r="AC21" s="137"/>
      <c r="AD21" s="137"/>
      <c r="AE21" s="137"/>
      <c r="AF21" s="137"/>
      <c r="AG21" s="137"/>
      <c r="AH21" s="137"/>
      <c r="AI21" s="137"/>
      <c r="AJ21" s="137"/>
      <c r="AK21" s="137"/>
      <c r="AL21" s="138"/>
      <c r="AM21" s="138"/>
      <c r="AQ21" s="89"/>
    </row>
    <row r="22" spans="1:43" ht="13.15" customHeight="1" x14ac:dyDescent="0.2">
      <c r="A22" s="19"/>
      <c r="B22" s="60"/>
      <c r="C22" s="24"/>
      <c r="D22" s="24"/>
      <c r="E22" s="155"/>
      <c r="F22" s="160"/>
      <c r="G22" s="160"/>
      <c r="H22" s="160"/>
      <c r="I22" s="160"/>
      <c r="J22" s="181"/>
      <c r="K22" s="182"/>
      <c r="L22" s="160"/>
      <c r="M22" s="160"/>
      <c r="N22" s="181"/>
      <c r="O22" s="98"/>
      <c r="P22" s="98"/>
      <c r="Q22" s="183"/>
      <c r="R22" s="161"/>
      <c r="S22" s="88"/>
      <c r="U22" s="89"/>
      <c r="V22" s="658"/>
      <c r="W22" s="1">
        <v>50</v>
      </c>
      <c r="X22" s="272"/>
      <c r="Y22" s="277"/>
      <c r="Z22" s="277"/>
      <c r="AA22" s="276"/>
      <c r="AB22" s="137"/>
      <c r="AC22" s="137"/>
      <c r="AD22" s="137"/>
      <c r="AE22" s="137"/>
      <c r="AF22" s="137"/>
      <c r="AG22" s="137"/>
      <c r="AH22" s="137"/>
      <c r="AI22" s="137"/>
      <c r="AJ22" s="137"/>
      <c r="AK22" s="137"/>
      <c r="AL22" s="138"/>
      <c r="AM22" s="138"/>
      <c r="AQ22" s="89"/>
    </row>
    <row r="23" spans="1:43" ht="13.15" customHeight="1" x14ac:dyDescent="0.2">
      <c r="A23" s="19"/>
      <c r="B23" s="60"/>
      <c r="C23" s="24"/>
      <c r="D23" s="24"/>
      <c r="E23" s="155"/>
      <c r="F23" s="160"/>
      <c r="G23" s="160"/>
      <c r="H23" s="160"/>
      <c r="I23" s="160"/>
      <c r="J23" s="181"/>
      <c r="K23" s="182"/>
      <c r="L23" s="160"/>
      <c r="M23" s="160"/>
      <c r="N23" s="181"/>
      <c r="O23" s="98"/>
      <c r="P23" s="98"/>
      <c r="Q23" s="183"/>
      <c r="R23" s="161"/>
      <c r="S23" s="88"/>
      <c r="U23" s="89"/>
      <c r="V23" s="658"/>
      <c r="W23" s="227" t="s">
        <v>295</v>
      </c>
      <c r="X23" s="272"/>
      <c r="Y23" s="277"/>
      <c r="Z23" s="277"/>
      <c r="AA23" s="277"/>
      <c r="AB23" s="276"/>
      <c r="AC23" s="147"/>
      <c r="AD23" s="137"/>
      <c r="AE23" s="137"/>
      <c r="AF23" s="137"/>
      <c r="AG23" s="137"/>
      <c r="AH23" s="137"/>
      <c r="AI23" s="137"/>
      <c r="AJ23" s="137"/>
      <c r="AK23" s="137"/>
      <c r="AL23" s="137"/>
      <c r="AM23" s="138"/>
      <c r="AN23" s="138"/>
      <c r="AQ23" s="89"/>
    </row>
    <row r="24" spans="1:43" ht="13.15" customHeight="1" x14ac:dyDescent="0.2">
      <c r="A24" s="26" t="s">
        <v>298</v>
      </c>
      <c r="B24" s="435"/>
      <c r="C24" s="29">
        <v>15</v>
      </c>
      <c r="D24" s="25">
        <v>50</v>
      </c>
      <c r="E24" s="653" t="s">
        <v>495</v>
      </c>
      <c r="F24" s="654"/>
      <c r="G24" s="654"/>
      <c r="H24" s="654"/>
      <c r="I24" s="654"/>
      <c r="J24" s="655"/>
      <c r="K24" s="699" t="s">
        <v>322</v>
      </c>
      <c r="L24" s="654"/>
      <c r="M24" s="654"/>
      <c r="N24" s="655"/>
      <c r="O24" s="148" t="s">
        <v>236</v>
      </c>
      <c r="P24" s="97" t="s">
        <v>485</v>
      </c>
      <c r="Q24" s="697" t="s">
        <v>304</v>
      </c>
      <c r="R24" s="698"/>
      <c r="S24" s="90"/>
      <c r="T24" s="91"/>
      <c r="U24" s="92"/>
      <c r="V24" s="658"/>
      <c r="W24" s="1">
        <v>80</v>
      </c>
      <c r="X24" s="272"/>
      <c r="Y24" s="277"/>
      <c r="Z24" s="277"/>
      <c r="AA24" s="277"/>
      <c r="AB24" s="283"/>
      <c r="AC24" s="281"/>
      <c r="AD24" s="137"/>
      <c r="AE24" s="137"/>
      <c r="AF24" s="137"/>
      <c r="AG24" s="137"/>
      <c r="AH24" s="137"/>
      <c r="AI24" s="137"/>
      <c r="AJ24" s="137"/>
      <c r="AK24" s="137"/>
      <c r="AL24" s="137"/>
      <c r="AM24" s="138"/>
      <c r="AN24" s="138"/>
      <c r="AQ24" s="89"/>
    </row>
    <row r="25" spans="1:43" ht="13.15" customHeight="1" x14ac:dyDescent="0.2">
      <c r="A25" s="19" t="s">
        <v>305</v>
      </c>
      <c r="B25" s="60"/>
      <c r="C25" s="491">
        <v>500</v>
      </c>
      <c r="D25" s="492">
        <v>600</v>
      </c>
      <c r="E25" s="644" t="s">
        <v>503</v>
      </c>
      <c r="F25" s="645"/>
      <c r="G25" s="645"/>
      <c r="H25" s="645"/>
      <c r="I25" s="645"/>
      <c r="J25" s="646"/>
      <c r="K25" s="700" t="s">
        <v>323</v>
      </c>
      <c r="L25" s="645"/>
      <c r="M25" s="645"/>
      <c r="N25" s="646"/>
      <c r="O25" s="188" t="s">
        <v>236</v>
      </c>
      <c r="P25" s="188" t="s">
        <v>246</v>
      </c>
      <c r="Q25" s="647" t="s">
        <v>306</v>
      </c>
      <c r="R25" s="648"/>
      <c r="S25" s="93"/>
      <c r="U25" s="89"/>
      <c r="V25" s="658"/>
      <c r="W25" s="1">
        <v>100</v>
      </c>
      <c r="X25" s="272"/>
      <c r="Y25" s="278"/>
      <c r="Z25" s="277"/>
      <c r="AA25" s="277"/>
      <c r="AB25" s="283"/>
      <c r="AC25" s="283"/>
      <c r="AD25" s="281"/>
      <c r="AE25" s="147"/>
      <c r="AF25" s="137"/>
      <c r="AG25" s="137"/>
      <c r="AH25" s="137"/>
      <c r="AI25" s="137"/>
      <c r="AJ25" s="137"/>
      <c r="AK25" s="137"/>
      <c r="AL25" s="137"/>
      <c r="AM25" s="138"/>
      <c r="AN25" s="138"/>
      <c r="AQ25" s="89"/>
    </row>
    <row r="26" spans="1:43" ht="13.15" customHeight="1" x14ac:dyDescent="0.2">
      <c r="A26" s="19"/>
      <c r="B26" s="60"/>
      <c r="C26" s="489">
        <v>700</v>
      </c>
      <c r="D26" s="493">
        <v>1200</v>
      </c>
      <c r="E26" s="583" t="s">
        <v>503</v>
      </c>
      <c r="F26" s="549"/>
      <c r="G26" s="549"/>
      <c r="H26" s="549"/>
      <c r="I26" s="549"/>
      <c r="J26" s="550"/>
      <c r="K26" s="584" t="s">
        <v>323</v>
      </c>
      <c r="L26" s="549"/>
      <c r="M26" s="549"/>
      <c r="N26" s="550"/>
      <c r="O26" s="98" t="s">
        <v>236</v>
      </c>
      <c r="P26" s="98" t="s">
        <v>246</v>
      </c>
      <c r="Q26" s="585" t="s">
        <v>306</v>
      </c>
      <c r="R26" s="545"/>
      <c r="S26" s="88"/>
      <c r="U26" s="89"/>
      <c r="V26" s="658"/>
      <c r="W26" s="227" t="s">
        <v>296</v>
      </c>
      <c r="X26" s="273"/>
      <c r="Y26" s="278"/>
      <c r="Z26" s="278"/>
      <c r="AA26" s="278"/>
      <c r="AB26" s="284"/>
      <c r="AC26" s="283"/>
      <c r="AD26" s="283"/>
      <c r="AE26" s="281"/>
      <c r="AF26" s="137"/>
      <c r="AG26" s="137"/>
      <c r="AH26" s="137"/>
      <c r="AI26" s="137"/>
      <c r="AJ26" s="137"/>
      <c r="AK26" s="137"/>
      <c r="AL26" s="137"/>
      <c r="AM26" s="138"/>
      <c r="AN26" s="138"/>
      <c r="AQ26" s="89"/>
    </row>
    <row r="27" spans="1:43" ht="13.15" customHeight="1" x14ac:dyDescent="0.2">
      <c r="A27" s="19"/>
      <c r="B27" s="60"/>
      <c r="C27" s="24"/>
      <c r="D27" s="23"/>
      <c r="E27" s="155"/>
      <c r="F27" s="160"/>
      <c r="G27" s="160"/>
      <c r="H27" s="160"/>
      <c r="I27" s="160"/>
      <c r="J27" s="181"/>
      <c r="K27" s="182"/>
      <c r="L27" s="160"/>
      <c r="M27" s="160"/>
      <c r="N27" s="181"/>
      <c r="O27" s="98"/>
      <c r="P27" s="98"/>
      <c r="Q27" s="183"/>
      <c r="R27" s="161"/>
      <c r="S27" s="93"/>
      <c r="U27" s="89"/>
      <c r="V27" s="658"/>
      <c r="W27" s="1">
        <v>150</v>
      </c>
      <c r="X27" s="273"/>
      <c r="Y27" s="278"/>
      <c r="Z27" s="277"/>
      <c r="AA27" s="277"/>
      <c r="AB27" s="283"/>
      <c r="AC27" s="283"/>
      <c r="AD27" s="283"/>
      <c r="AE27" s="283"/>
      <c r="AF27" s="281"/>
      <c r="AG27" s="137"/>
      <c r="AH27" s="137"/>
      <c r="AI27" s="137"/>
      <c r="AJ27" s="137"/>
      <c r="AK27" s="137"/>
      <c r="AL27" s="137"/>
      <c r="AM27" s="138"/>
      <c r="AN27" s="138"/>
      <c r="AQ27" s="89"/>
    </row>
    <row r="28" spans="1:43" ht="13.15" customHeight="1" x14ac:dyDescent="0.2">
      <c r="A28" s="20"/>
      <c r="B28" s="424"/>
      <c r="C28" s="28"/>
      <c r="D28" s="27"/>
      <c r="E28" s="320"/>
      <c r="F28" s="124"/>
      <c r="G28" s="124"/>
      <c r="H28" s="124"/>
      <c r="I28" s="124"/>
      <c r="J28" s="354"/>
      <c r="K28" s="321"/>
      <c r="L28" s="124"/>
      <c r="M28" s="124"/>
      <c r="N28" s="354"/>
      <c r="O28" s="110"/>
      <c r="P28" s="110"/>
      <c r="Q28" s="80"/>
      <c r="R28" s="80"/>
      <c r="S28" s="94"/>
      <c r="T28" s="95"/>
      <c r="U28" s="96"/>
      <c r="V28" s="658"/>
      <c r="W28" s="1">
        <v>200</v>
      </c>
      <c r="X28" s="273"/>
      <c r="Y28" s="278"/>
      <c r="Z28" s="661" t="s">
        <v>542</v>
      </c>
      <c r="AA28" s="662"/>
      <c r="AB28" s="662"/>
      <c r="AC28" s="662"/>
      <c r="AD28" s="663"/>
      <c r="AE28" s="285"/>
      <c r="AF28" s="285"/>
      <c r="AG28" s="281"/>
      <c r="AH28" s="137"/>
      <c r="AI28" s="137"/>
      <c r="AJ28" s="137"/>
      <c r="AK28" s="137"/>
      <c r="AL28" s="137"/>
      <c r="AM28" s="138"/>
      <c r="AN28" s="138"/>
      <c r="AQ28" s="89"/>
    </row>
    <row r="29" spans="1:43" ht="13.15" customHeight="1" x14ac:dyDescent="0.2">
      <c r="A29" s="19" t="s">
        <v>249</v>
      </c>
      <c r="B29" s="60"/>
      <c r="C29" s="24">
        <v>500</v>
      </c>
      <c r="D29" s="24">
        <v>1200</v>
      </c>
      <c r="E29" s="561" t="s">
        <v>271</v>
      </c>
      <c r="F29" s="562"/>
      <c r="G29" s="562"/>
      <c r="H29" s="562"/>
      <c r="I29" s="562"/>
      <c r="J29" s="563"/>
      <c r="K29" s="564" t="s">
        <v>323</v>
      </c>
      <c r="L29" s="562"/>
      <c r="M29" s="562"/>
      <c r="N29" s="563"/>
      <c r="O29" s="97" t="s">
        <v>236</v>
      </c>
      <c r="P29" s="97" t="s">
        <v>246</v>
      </c>
      <c r="Q29" s="565" t="s">
        <v>306</v>
      </c>
      <c r="R29" s="576"/>
      <c r="S29" s="694" t="s">
        <v>548</v>
      </c>
      <c r="T29" s="91"/>
      <c r="U29" s="92"/>
      <c r="V29" s="658"/>
      <c r="W29" s="1">
        <v>250</v>
      </c>
      <c r="X29" s="273"/>
      <c r="Y29" s="278"/>
      <c r="Z29" s="664"/>
      <c r="AA29" s="665"/>
      <c r="AB29" s="665"/>
      <c r="AC29" s="665"/>
      <c r="AD29" s="666"/>
      <c r="AE29" s="283"/>
      <c r="AF29" s="283"/>
      <c r="AG29" s="283"/>
      <c r="AH29" s="281"/>
      <c r="AI29" s="137"/>
      <c r="AJ29" s="137"/>
      <c r="AK29" s="137"/>
      <c r="AL29" s="137"/>
      <c r="AM29" s="138"/>
      <c r="AN29" s="138"/>
      <c r="AQ29" s="89"/>
    </row>
    <row r="30" spans="1:43" ht="13.15" customHeight="1" x14ac:dyDescent="0.2">
      <c r="A30" s="19" t="s">
        <v>250</v>
      </c>
      <c r="B30" s="60"/>
      <c r="C30" s="210" t="s">
        <v>236</v>
      </c>
      <c r="D30" s="210" t="s">
        <v>236</v>
      </c>
      <c r="E30" s="583" t="s">
        <v>325</v>
      </c>
      <c r="F30" s="549"/>
      <c r="G30" s="549"/>
      <c r="H30" s="549"/>
      <c r="I30" s="549"/>
      <c r="J30" s="550"/>
      <c r="K30" s="584" t="s">
        <v>322</v>
      </c>
      <c r="L30" s="549"/>
      <c r="M30" s="549"/>
      <c r="N30" s="550"/>
      <c r="O30" s="98" t="s">
        <v>236</v>
      </c>
      <c r="P30" s="98" t="s">
        <v>246</v>
      </c>
      <c r="Q30" s="585" t="s">
        <v>347</v>
      </c>
      <c r="R30" s="615"/>
      <c r="S30" s="695"/>
      <c r="U30" s="89"/>
      <c r="V30" s="658"/>
      <c r="W30" s="1">
        <v>300</v>
      </c>
      <c r="X30" s="273"/>
      <c r="Y30" s="278"/>
      <c r="Z30" s="667"/>
      <c r="AA30" s="668"/>
      <c r="AB30" s="668"/>
      <c r="AC30" s="668"/>
      <c r="AD30" s="669"/>
      <c r="AE30" s="283"/>
      <c r="AF30" s="283"/>
      <c r="AG30" s="287"/>
      <c r="AH30" s="283"/>
      <c r="AI30" s="281"/>
      <c r="AJ30" s="137"/>
      <c r="AK30" s="137"/>
      <c r="AL30" s="137"/>
      <c r="AM30" s="138"/>
      <c r="AN30" s="138"/>
      <c r="AQ30" s="89"/>
    </row>
    <row r="31" spans="1:43" ht="13.15" customHeight="1" x14ac:dyDescent="0.2">
      <c r="A31" s="19"/>
      <c r="B31" s="60"/>
      <c r="C31" s="210"/>
      <c r="D31" s="210"/>
      <c r="E31" s="155"/>
      <c r="F31" s="160"/>
      <c r="G31" s="160"/>
      <c r="H31" s="160"/>
      <c r="I31" s="160"/>
      <c r="J31" s="181"/>
      <c r="K31" s="182"/>
      <c r="L31" s="160"/>
      <c r="M31" s="160"/>
      <c r="N31" s="181"/>
      <c r="O31" s="98"/>
      <c r="P31" s="98"/>
      <c r="Q31" s="347"/>
      <c r="R31" s="348"/>
      <c r="S31" s="695"/>
      <c r="U31" s="89"/>
      <c r="V31" s="658"/>
      <c r="W31" s="1">
        <v>350</v>
      </c>
      <c r="X31" s="273"/>
      <c r="Y31" s="278"/>
      <c r="Z31" s="277"/>
      <c r="AA31" s="277"/>
      <c r="AB31" s="283"/>
      <c r="AC31" s="283"/>
      <c r="AD31" s="283"/>
      <c r="AE31" s="283"/>
      <c r="AF31" s="283"/>
      <c r="AG31" s="287"/>
      <c r="AH31" s="283"/>
      <c r="AI31" s="283"/>
      <c r="AJ31" s="281"/>
      <c r="AK31" s="137"/>
      <c r="AL31" s="137"/>
      <c r="AM31" s="138"/>
      <c r="AN31" s="138"/>
      <c r="AQ31" s="89"/>
    </row>
    <row r="32" spans="1:43" ht="13.15" customHeight="1" x14ac:dyDescent="0.2">
      <c r="A32" s="19"/>
      <c r="B32" s="60"/>
      <c r="C32" s="210"/>
      <c r="D32" s="210"/>
      <c r="E32" s="155"/>
      <c r="F32" s="160"/>
      <c r="G32" s="160"/>
      <c r="H32" s="160"/>
      <c r="I32" s="160"/>
      <c r="J32" s="181"/>
      <c r="K32" s="182"/>
      <c r="L32" s="160"/>
      <c r="M32" s="160"/>
      <c r="N32" s="181"/>
      <c r="O32" s="98"/>
      <c r="P32" s="98"/>
      <c r="Q32" s="347"/>
      <c r="R32" s="348"/>
      <c r="S32" s="695"/>
      <c r="U32" s="89"/>
      <c r="V32" s="658"/>
      <c r="W32" s="1">
        <v>400</v>
      </c>
      <c r="X32" s="273"/>
      <c r="Y32" s="278"/>
      <c r="Z32" s="277"/>
      <c r="AA32" s="277"/>
      <c r="AB32" s="283"/>
      <c r="AC32" s="283"/>
      <c r="AD32" s="283"/>
      <c r="AE32" s="283"/>
      <c r="AF32" s="283"/>
      <c r="AG32" s="287"/>
      <c r="AH32" s="283"/>
      <c r="AI32" s="283"/>
      <c r="AJ32" s="283"/>
      <c r="AK32" s="281"/>
      <c r="AL32" s="137"/>
      <c r="AM32" s="138"/>
      <c r="AN32" s="138"/>
      <c r="AQ32" s="89"/>
    </row>
    <row r="33" spans="1:43" ht="13.15" customHeight="1" x14ac:dyDescent="0.2">
      <c r="A33" s="19" t="s">
        <v>256</v>
      </c>
      <c r="B33" s="60"/>
      <c r="C33" s="24">
        <v>500</v>
      </c>
      <c r="D33" s="24">
        <v>1200</v>
      </c>
      <c r="E33" s="583" t="s">
        <v>528</v>
      </c>
      <c r="F33" s="549"/>
      <c r="G33" s="549"/>
      <c r="H33" s="549"/>
      <c r="I33" s="549"/>
      <c r="J33" s="550"/>
      <c r="K33" s="584" t="s">
        <v>418</v>
      </c>
      <c r="L33" s="549"/>
      <c r="M33" s="549"/>
      <c r="N33" s="550"/>
      <c r="O33" s="98" t="s">
        <v>236</v>
      </c>
      <c r="P33" s="98" t="s">
        <v>328</v>
      </c>
      <c r="Q33" s="585" t="s">
        <v>332</v>
      </c>
      <c r="R33" s="615"/>
      <c r="S33" s="695"/>
      <c r="U33" s="89"/>
      <c r="V33" s="658"/>
      <c r="W33" s="1">
        <v>450</v>
      </c>
      <c r="X33" s="274"/>
      <c r="Y33" s="279"/>
      <c r="Z33" s="280"/>
      <c r="AA33" s="280"/>
      <c r="AB33" s="285"/>
      <c r="AC33" s="285"/>
      <c r="AD33" s="285"/>
      <c r="AE33" s="285"/>
      <c r="AF33" s="285"/>
      <c r="AG33" s="286"/>
      <c r="AH33" s="282"/>
      <c r="AI33" s="282"/>
      <c r="AJ33" s="282"/>
      <c r="AK33" s="282"/>
      <c r="AL33" s="281"/>
      <c r="AM33" s="138"/>
      <c r="AN33" s="138"/>
      <c r="AQ33" s="89"/>
    </row>
    <row r="34" spans="1:43" ht="13.15" customHeight="1" x14ac:dyDescent="0.2">
      <c r="A34" s="19"/>
      <c r="B34" s="60"/>
      <c r="C34" s="24"/>
      <c r="D34" s="24"/>
      <c r="E34" s="583" t="s">
        <v>326</v>
      </c>
      <c r="F34" s="549"/>
      <c r="G34" s="549"/>
      <c r="H34" s="549"/>
      <c r="I34" s="549"/>
      <c r="J34" s="550"/>
      <c r="K34" s="584">
        <v>1.5415000000000001</v>
      </c>
      <c r="L34" s="549"/>
      <c r="M34" s="549"/>
      <c r="N34" s="550"/>
      <c r="O34" s="165" t="s">
        <v>236</v>
      </c>
      <c r="P34" s="98" t="s">
        <v>257</v>
      </c>
      <c r="Q34" s="585" t="s">
        <v>721</v>
      </c>
      <c r="R34" s="545"/>
      <c r="S34" s="695"/>
      <c r="T34" s="60" t="s">
        <v>525</v>
      </c>
      <c r="U34" s="89"/>
      <c r="V34" s="658"/>
      <c r="W34" s="1">
        <v>500</v>
      </c>
      <c r="X34" s="308" t="s">
        <v>410</v>
      </c>
      <c r="Y34" s="308" t="s">
        <v>401</v>
      </c>
      <c r="Z34" s="308" t="s">
        <v>402</v>
      </c>
      <c r="AA34" s="308" t="s">
        <v>416</v>
      </c>
      <c r="AB34" s="308" t="s">
        <v>416</v>
      </c>
      <c r="AC34" s="308" t="s">
        <v>430</v>
      </c>
      <c r="AD34" s="308" t="s">
        <v>433</v>
      </c>
      <c r="AE34" s="308" t="s">
        <v>453</v>
      </c>
      <c r="AF34" s="309" t="s">
        <v>435</v>
      </c>
      <c r="AG34" s="308" t="s">
        <v>434</v>
      </c>
      <c r="AH34" s="308" t="s">
        <v>413</v>
      </c>
      <c r="AI34" s="308" t="s">
        <v>413</v>
      </c>
      <c r="AJ34" s="308" t="s">
        <v>436</v>
      </c>
      <c r="AK34" s="308" t="s">
        <v>413</v>
      </c>
      <c r="AL34" s="308" t="s">
        <v>413</v>
      </c>
      <c r="AM34" s="308" t="s">
        <v>413</v>
      </c>
      <c r="AN34" s="138"/>
      <c r="AQ34" s="89"/>
    </row>
    <row r="35" spans="1:43" ht="13.15" customHeight="1" x14ac:dyDescent="0.2">
      <c r="A35" s="19"/>
      <c r="B35" s="60"/>
      <c r="C35" s="24"/>
      <c r="D35" s="24"/>
      <c r="E35" s="583" t="s">
        <v>327</v>
      </c>
      <c r="F35" s="549"/>
      <c r="G35" s="549"/>
      <c r="H35" s="549"/>
      <c r="I35" s="549"/>
      <c r="J35" s="550"/>
      <c r="K35" s="584" t="s">
        <v>330</v>
      </c>
      <c r="L35" s="549"/>
      <c r="M35" s="549"/>
      <c r="N35" s="550"/>
      <c r="O35" s="98" t="s">
        <v>236</v>
      </c>
      <c r="P35" s="98" t="s">
        <v>257</v>
      </c>
      <c r="Q35" s="585" t="s">
        <v>329</v>
      </c>
      <c r="R35" s="615"/>
      <c r="S35" s="695"/>
      <c r="U35" s="89"/>
      <c r="V35" s="658"/>
      <c r="W35" s="1">
        <v>600</v>
      </c>
      <c r="X35" s="308" t="s">
        <v>410</v>
      </c>
      <c r="Y35" s="308" t="s">
        <v>401</v>
      </c>
      <c r="Z35" s="308" t="s">
        <v>402</v>
      </c>
      <c r="AA35" s="308" t="s">
        <v>416</v>
      </c>
      <c r="AB35" s="308" t="s">
        <v>416</v>
      </c>
      <c r="AC35" s="308" t="s">
        <v>430</v>
      </c>
      <c r="AD35" s="308" t="s">
        <v>433</v>
      </c>
      <c r="AE35" s="308" t="s">
        <v>453</v>
      </c>
      <c r="AF35" s="309" t="s">
        <v>435</v>
      </c>
      <c r="AG35" s="308" t="s">
        <v>434</v>
      </c>
      <c r="AH35" s="308" t="s">
        <v>413</v>
      </c>
      <c r="AI35" s="308" t="s">
        <v>413</v>
      </c>
      <c r="AJ35" s="308" t="s">
        <v>436</v>
      </c>
      <c r="AK35" s="308" t="s">
        <v>413</v>
      </c>
      <c r="AL35" s="308" t="s">
        <v>236</v>
      </c>
      <c r="AM35" s="308" t="s">
        <v>413</v>
      </c>
      <c r="AN35" s="308" t="s">
        <v>406</v>
      </c>
      <c r="AO35"/>
      <c r="AQ35" s="89"/>
    </row>
    <row r="36" spans="1:43" ht="13.15" customHeight="1" x14ac:dyDescent="0.2">
      <c r="A36" s="19"/>
      <c r="B36" s="60"/>
      <c r="C36" s="24"/>
      <c r="D36" s="24"/>
      <c r="E36" s="155"/>
      <c r="F36" s="160"/>
      <c r="G36" s="160"/>
      <c r="H36" s="160"/>
      <c r="I36" s="160"/>
      <c r="J36" s="181"/>
      <c r="K36" s="182"/>
      <c r="L36" s="160"/>
      <c r="M36" s="160"/>
      <c r="N36" s="181"/>
      <c r="O36" s="98"/>
      <c r="P36" s="98"/>
      <c r="Q36" s="347"/>
      <c r="R36" s="22"/>
      <c r="S36" s="695"/>
      <c r="U36" s="89"/>
      <c r="V36" s="658"/>
      <c r="W36">
        <v>700</v>
      </c>
      <c r="X36" s="303" t="s">
        <v>410</v>
      </c>
      <c r="Y36" s="303" t="s">
        <v>401</v>
      </c>
      <c r="Z36" s="305" t="s">
        <v>402</v>
      </c>
      <c r="AA36" s="303" t="s">
        <v>416</v>
      </c>
      <c r="AB36" s="303" t="s">
        <v>416</v>
      </c>
      <c r="AC36" s="303" t="s">
        <v>430</v>
      </c>
      <c r="AD36" s="303" t="s">
        <v>433</v>
      </c>
      <c r="AE36" s="303" t="s">
        <v>453</v>
      </c>
      <c r="AF36" s="304" t="s">
        <v>435</v>
      </c>
      <c r="AG36" s="303" t="s">
        <v>434</v>
      </c>
      <c r="AH36" s="303" t="s">
        <v>434</v>
      </c>
      <c r="AI36" s="305" t="s">
        <v>413</v>
      </c>
      <c r="AJ36" s="305" t="s">
        <v>436</v>
      </c>
      <c r="AK36" s="305" t="s">
        <v>437</v>
      </c>
      <c r="AL36" s="305" t="s">
        <v>236</v>
      </c>
      <c r="AM36" s="303" t="s">
        <v>437</v>
      </c>
      <c r="AN36" s="303" t="s">
        <v>437</v>
      </c>
      <c r="AQ36" s="89"/>
    </row>
    <row r="37" spans="1:43" ht="13.15" customHeight="1" x14ac:dyDescent="0.2">
      <c r="A37" s="19" t="s">
        <v>258</v>
      </c>
      <c r="B37" s="60"/>
      <c r="C37" s="24">
        <v>500</v>
      </c>
      <c r="D37" s="24">
        <v>1200</v>
      </c>
      <c r="E37" s="583" t="s">
        <v>378</v>
      </c>
      <c r="F37" s="549"/>
      <c r="G37" s="549"/>
      <c r="H37" s="549"/>
      <c r="I37" s="549"/>
      <c r="J37" s="550"/>
      <c r="K37" s="584" t="s">
        <v>418</v>
      </c>
      <c r="L37" s="549"/>
      <c r="M37" s="549"/>
      <c r="N37" s="550"/>
      <c r="O37" s="98" t="s">
        <v>236</v>
      </c>
      <c r="P37" s="98" t="s">
        <v>328</v>
      </c>
      <c r="Q37" s="585" t="s">
        <v>332</v>
      </c>
      <c r="R37" s="615"/>
      <c r="S37" s="695"/>
      <c r="U37" s="89"/>
      <c r="V37" s="658"/>
      <c r="W37" s="61">
        <v>800</v>
      </c>
      <c r="X37" s="303" t="s">
        <v>410</v>
      </c>
      <c r="Y37" s="303" t="s">
        <v>401</v>
      </c>
      <c r="Z37" s="305" t="s">
        <v>402</v>
      </c>
      <c r="AA37" s="303" t="s">
        <v>416</v>
      </c>
      <c r="AB37" s="303" t="s">
        <v>416</v>
      </c>
      <c r="AC37" s="303" t="s">
        <v>430</v>
      </c>
      <c r="AD37" s="303" t="s">
        <v>433</v>
      </c>
      <c r="AE37" s="303" t="s">
        <v>453</v>
      </c>
      <c r="AF37" s="304" t="s">
        <v>435</v>
      </c>
      <c r="AG37" s="303" t="s">
        <v>434</v>
      </c>
      <c r="AH37" s="303" t="s">
        <v>434</v>
      </c>
      <c r="AI37" s="306" t="s">
        <v>454</v>
      </c>
      <c r="AJ37" s="305" t="s">
        <v>436</v>
      </c>
      <c r="AK37" s="305" t="s">
        <v>437</v>
      </c>
      <c r="AL37" s="305" t="s">
        <v>236</v>
      </c>
      <c r="AM37" s="303" t="s">
        <v>437</v>
      </c>
      <c r="AN37" s="303" t="s">
        <v>437</v>
      </c>
      <c r="AO37" s="117"/>
      <c r="AQ37" s="89"/>
    </row>
    <row r="38" spans="1:43" ht="13.15" customHeight="1" x14ac:dyDescent="0.2">
      <c r="A38" s="19"/>
      <c r="B38" s="60"/>
      <c r="C38" s="24"/>
      <c r="D38" s="24"/>
      <c r="E38" s="155"/>
      <c r="F38" s="80"/>
      <c r="G38" s="80"/>
      <c r="H38" s="80"/>
      <c r="I38" s="80"/>
      <c r="J38" s="80"/>
      <c r="K38" s="321"/>
      <c r="L38" s="124"/>
      <c r="M38" s="124"/>
      <c r="N38" s="354"/>
      <c r="O38" s="110"/>
      <c r="P38" s="110"/>
      <c r="Q38" s="321"/>
      <c r="R38" s="111"/>
      <c r="S38" s="696"/>
      <c r="T38" s="95"/>
      <c r="U38" s="96"/>
      <c r="V38" s="658"/>
      <c r="W38" s="61">
        <v>900</v>
      </c>
      <c r="X38" s="303" t="s">
        <v>410</v>
      </c>
      <c r="Y38" s="303" t="s">
        <v>401</v>
      </c>
      <c r="Z38" s="305" t="s">
        <v>402</v>
      </c>
      <c r="AA38" s="303" t="s">
        <v>416</v>
      </c>
      <c r="AB38" s="303" t="s">
        <v>416</v>
      </c>
      <c r="AC38" s="303" t="s">
        <v>430</v>
      </c>
      <c r="AD38" s="303" t="s">
        <v>433</v>
      </c>
      <c r="AE38" s="303" t="s">
        <v>453</v>
      </c>
      <c r="AF38" s="304" t="s">
        <v>435</v>
      </c>
      <c r="AG38" s="303" t="s">
        <v>434</v>
      </c>
      <c r="AH38" s="303" t="s">
        <v>434</v>
      </c>
      <c r="AI38" s="306" t="s">
        <v>454</v>
      </c>
      <c r="AJ38" s="305" t="s">
        <v>436</v>
      </c>
      <c r="AK38" s="306" t="s">
        <v>437</v>
      </c>
      <c r="AL38" s="305" t="s">
        <v>236</v>
      </c>
      <c r="AM38" s="303" t="s">
        <v>437</v>
      </c>
      <c r="AN38" s="303" t="s">
        <v>437</v>
      </c>
      <c r="AO38" s="117"/>
      <c r="AQ38" s="89"/>
    </row>
    <row r="39" spans="1:43" ht="13.15" customHeight="1" x14ac:dyDescent="0.2">
      <c r="A39" s="26" t="s">
        <v>317</v>
      </c>
      <c r="B39" s="454"/>
      <c r="C39" s="29">
        <v>500</v>
      </c>
      <c r="D39" s="25">
        <v>1200</v>
      </c>
      <c r="E39" s="561" t="s">
        <v>384</v>
      </c>
      <c r="F39" s="562"/>
      <c r="G39" s="562"/>
      <c r="H39" s="562"/>
      <c r="I39" s="562"/>
      <c r="J39" s="563"/>
      <c r="K39" s="564" t="s">
        <v>323</v>
      </c>
      <c r="L39" s="562"/>
      <c r="M39" s="562"/>
      <c r="N39" s="563"/>
      <c r="O39" s="97" t="s">
        <v>236</v>
      </c>
      <c r="P39" s="97" t="s">
        <v>246</v>
      </c>
      <c r="Q39" s="565" t="s">
        <v>306</v>
      </c>
      <c r="R39" s="566"/>
      <c r="S39" s="688" t="s">
        <v>357</v>
      </c>
      <c r="T39" s="689"/>
      <c r="U39" s="690"/>
      <c r="V39" s="658"/>
      <c r="W39" s="61">
        <v>1000</v>
      </c>
      <c r="X39" s="303" t="s">
        <v>410</v>
      </c>
      <c r="Y39" s="303" t="s">
        <v>401</v>
      </c>
      <c r="Z39" s="305" t="s">
        <v>402</v>
      </c>
      <c r="AA39" s="303" t="s">
        <v>416</v>
      </c>
      <c r="AB39" s="303" t="s">
        <v>416</v>
      </c>
      <c r="AC39" s="303" t="s">
        <v>430</v>
      </c>
      <c r="AD39" s="303" t="s">
        <v>433</v>
      </c>
      <c r="AE39" s="303" t="s">
        <v>453</v>
      </c>
      <c r="AF39" s="304" t="s">
        <v>435</v>
      </c>
      <c r="AG39" s="303" t="s">
        <v>434</v>
      </c>
      <c r="AH39" s="303" t="s">
        <v>434</v>
      </c>
      <c r="AI39" s="306" t="s">
        <v>454</v>
      </c>
      <c r="AJ39" s="305" t="s">
        <v>436</v>
      </c>
      <c r="AK39" s="306" t="s">
        <v>455</v>
      </c>
      <c r="AL39" s="305" t="s">
        <v>236</v>
      </c>
      <c r="AM39" s="303" t="s">
        <v>434</v>
      </c>
      <c r="AN39" s="303" t="s">
        <v>437</v>
      </c>
      <c r="AQ39" s="89"/>
    </row>
    <row r="40" spans="1:43" ht="13.15" customHeight="1" x14ac:dyDescent="0.2">
      <c r="A40" s="19"/>
      <c r="B40" s="60"/>
      <c r="C40" s="24"/>
      <c r="D40" s="23"/>
      <c r="E40" s="155"/>
      <c r="F40" s="160"/>
      <c r="G40" s="160"/>
      <c r="H40" s="160"/>
      <c r="I40" s="160"/>
      <c r="J40" s="181"/>
      <c r="K40" s="182"/>
      <c r="L40" s="160"/>
      <c r="M40" s="160"/>
      <c r="N40" s="181"/>
      <c r="O40" s="98"/>
      <c r="P40" s="98"/>
      <c r="Q40" s="347"/>
      <c r="R40" s="348"/>
      <c r="S40" s="691"/>
      <c r="T40" s="692"/>
      <c r="U40" s="693"/>
      <c r="V40" s="658"/>
      <c r="W40" s="61">
        <v>1200</v>
      </c>
      <c r="X40" s="303" t="s">
        <v>410</v>
      </c>
      <c r="Y40" s="303" t="s">
        <v>401</v>
      </c>
      <c r="Z40" s="305" t="s">
        <v>402</v>
      </c>
      <c r="AA40" s="303" t="s">
        <v>416</v>
      </c>
      <c r="AB40" s="303" t="s">
        <v>416</v>
      </c>
      <c r="AC40" s="303" t="s">
        <v>430</v>
      </c>
      <c r="AD40" s="303" t="s">
        <v>433</v>
      </c>
      <c r="AE40" s="303" t="s">
        <v>453</v>
      </c>
      <c r="AF40" s="304" t="s">
        <v>435</v>
      </c>
      <c r="AG40" s="303" t="s">
        <v>434</v>
      </c>
      <c r="AH40" s="303" t="s">
        <v>434</v>
      </c>
      <c r="AI40" s="306" t="s">
        <v>454</v>
      </c>
      <c r="AJ40" s="305" t="s">
        <v>436</v>
      </c>
      <c r="AK40" s="306" t="s">
        <v>455</v>
      </c>
      <c r="AL40" s="305" t="s">
        <v>236</v>
      </c>
      <c r="AM40" s="303" t="s">
        <v>434</v>
      </c>
      <c r="AN40" s="307" t="s">
        <v>434</v>
      </c>
      <c r="AQ40" s="89"/>
    </row>
    <row r="41" spans="1:43" ht="13.15" customHeight="1" x14ac:dyDescent="0.2">
      <c r="A41" s="20"/>
      <c r="B41" s="424"/>
      <c r="C41" s="28"/>
      <c r="D41" s="27"/>
      <c r="E41" s="320"/>
      <c r="F41" s="124"/>
      <c r="G41" s="124"/>
      <c r="H41" s="124"/>
      <c r="I41" s="124"/>
      <c r="J41" s="354"/>
      <c r="K41" s="321"/>
      <c r="L41" s="124"/>
      <c r="M41" s="124"/>
      <c r="N41" s="354"/>
      <c r="O41" s="110"/>
      <c r="P41" s="99"/>
      <c r="Q41" s="80"/>
      <c r="R41" s="80"/>
      <c r="S41" s="94"/>
      <c r="T41" s="95"/>
      <c r="U41" s="96"/>
      <c r="V41" s="290"/>
      <c r="X41" s="288"/>
      <c r="Y41" s="288"/>
      <c r="Z41" s="288"/>
      <c r="AA41" s="288"/>
      <c r="AB41" s="288"/>
      <c r="AC41" s="288"/>
      <c r="AD41" s="288"/>
      <c r="AE41" s="288"/>
      <c r="AF41" s="288"/>
      <c r="AG41" s="288"/>
      <c r="AH41" s="288"/>
      <c r="AI41" s="288"/>
      <c r="AJ41" s="288"/>
      <c r="AK41" s="288"/>
      <c r="AL41" s="288"/>
      <c r="AM41" s="288"/>
      <c r="AN41" s="288"/>
      <c r="AQ41" s="89"/>
    </row>
    <row r="42" spans="1:43" ht="13.15" customHeight="1" x14ac:dyDescent="0.2">
      <c r="A42" s="19" t="s">
        <v>215</v>
      </c>
      <c r="B42" s="60"/>
      <c r="C42" s="24">
        <v>500</v>
      </c>
      <c r="D42" s="24">
        <v>1200</v>
      </c>
      <c r="E42" s="561" t="s">
        <v>247</v>
      </c>
      <c r="F42" s="562"/>
      <c r="G42" s="562"/>
      <c r="H42" s="562"/>
      <c r="I42" s="562"/>
      <c r="J42" s="563"/>
      <c r="K42" s="564" t="s">
        <v>536</v>
      </c>
      <c r="L42" s="562"/>
      <c r="M42" s="562"/>
      <c r="N42" s="563"/>
      <c r="O42" s="97" t="s">
        <v>236</v>
      </c>
      <c r="P42" s="97" t="s">
        <v>246</v>
      </c>
      <c r="Q42" s="565" t="s">
        <v>306</v>
      </c>
      <c r="R42" s="566"/>
      <c r="S42" s="109"/>
      <c r="T42" s="91"/>
      <c r="U42" s="92"/>
      <c r="V42" s="290"/>
      <c r="X42" s="288"/>
      <c r="Y42" s="288"/>
      <c r="Z42" s="288"/>
      <c r="AA42" s="288"/>
      <c r="AB42" s="288"/>
      <c r="AC42" s="288"/>
      <c r="AD42" s="288"/>
      <c r="AE42" s="288"/>
      <c r="AF42" s="288"/>
      <c r="AG42" s="288"/>
      <c r="AH42" s="288"/>
      <c r="AI42" s="288"/>
      <c r="AJ42" s="288"/>
      <c r="AK42" s="288"/>
      <c r="AL42" s="288"/>
      <c r="AM42" s="288"/>
      <c r="AN42" s="288"/>
      <c r="AQ42" s="89"/>
    </row>
    <row r="43" spans="1:43" ht="13.15" customHeight="1" x14ac:dyDescent="0.2">
      <c r="A43" s="19"/>
      <c r="B43" s="60"/>
      <c r="C43" s="24"/>
      <c r="D43" s="24"/>
      <c r="E43" s="155"/>
      <c r="F43" s="160"/>
      <c r="G43" s="160"/>
      <c r="H43" s="160"/>
      <c r="I43" s="160"/>
      <c r="J43" s="181"/>
      <c r="K43" s="182"/>
      <c r="L43" s="160"/>
      <c r="M43" s="160"/>
      <c r="N43" s="181"/>
      <c r="O43" s="98"/>
      <c r="P43" s="98"/>
      <c r="Q43" s="347"/>
      <c r="R43" s="161"/>
      <c r="S43" s="88"/>
      <c r="U43" s="89"/>
      <c r="V43" s="290"/>
      <c r="X43" s="288"/>
      <c r="Y43" s="288"/>
      <c r="Z43" s="288"/>
      <c r="AA43" s="288"/>
      <c r="AB43" s="288"/>
      <c r="AC43" s="288"/>
      <c r="AD43" s="288"/>
      <c r="AE43" s="288"/>
      <c r="AF43" s="288"/>
      <c r="AG43" s="288"/>
      <c r="AH43" s="288"/>
      <c r="AI43" s="288"/>
      <c r="AJ43" s="288"/>
      <c r="AK43" s="288"/>
      <c r="AL43" s="288"/>
      <c r="AM43" s="288"/>
      <c r="AN43" s="288"/>
      <c r="AQ43" s="89"/>
    </row>
    <row r="44" spans="1:43" ht="13.15" customHeight="1" x14ac:dyDescent="0.2">
      <c r="A44" s="20"/>
      <c r="B44" s="424"/>
      <c r="C44" s="28"/>
      <c r="D44" s="28"/>
      <c r="E44" s="320"/>
      <c r="F44" s="124"/>
      <c r="G44" s="124"/>
      <c r="H44" s="124"/>
      <c r="I44" s="124"/>
      <c r="J44" s="354"/>
      <c r="K44" s="321"/>
      <c r="L44" s="124"/>
      <c r="M44" s="124"/>
      <c r="N44" s="354"/>
      <c r="O44" s="110"/>
      <c r="P44" s="110"/>
      <c r="Q44" s="80"/>
      <c r="R44" s="80"/>
      <c r="S44" s="94"/>
      <c r="T44" s="95"/>
      <c r="U44" s="96"/>
      <c r="V44" s="21"/>
      <c r="X44">
        <v>15</v>
      </c>
      <c r="Y44">
        <v>25</v>
      </c>
      <c r="Z44">
        <v>40</v>
      </c>
      <c r="AA44">
        <v>50</v>
      </c>
      <c r="AB44" s="228" t="s">
        <v>295</v>
      </c>
      <c r="AC44">
        <v>80</v>
      </c>
      <c r="AD44">
        <v>100</v>
      </c>
      <c r="AE44" s="228" t="s">
        <v>296</v>
      </c>
      <c r="AF44">
        <v>150</v>
      </c>
      <c r="AG44">
        <v>200</v>
      </c>
      <c r="AH44">
        <v>250</v>
      </c>
      <c r="AI44">
        <v>300</v>
      </c>
      <c r="AJ44">
        <v>350</v>
      </c>
      <c r="AK44" s="2">
        <v>400</v>
      </c>
      <c r="AL44" s="2">
        <v>450</v>
      </c>
      <c r="AM44" s="2">
        <v>500</v>
      </c>
      <c r="AN44" s="2">
        <v>600</v>
      </c>
      <c r="AQ44" s="89"/>
    </row>
    <row r="45" spans="1:43" ht="13.15" customHeight="1" x14ac:dyDescent="0.2">
      <c r="A45" s="19" t="s">
        <v>214</v>
      </c>
      <c r="B45" s="60"/>
      <c r="C45" s="24">
        <v>500</v>
      </c>
      <c r="D45" s="24">
        <v>1200</v>
      </c>
      <c r="E45" s="561" t="s">
        <v>481</v>
      </c>
      <c r="F45" s="562"/>
      <c r="G45" s="562"/>
      <c r="H45" s="562"/>
      <c r="I45" s="562"/>
      <c r="J45" s="563"/>
      <c r="K45" s="564" t="s">
        <v>318</v>
      </c>
      <c r="L45" s="562"/>
      <c r="M45" s="562"/>
      <c r="N45" s="563"/>
      <c r="O45" s="97" t="s">
        <v>377</v>
      </c>
      <c r="P45" s="97" t="s">
        <v>363</v>
      </c>
      <c r="Q45" s="565" t="s">
        <v>309</v>
      </c>
      <c r="R45" s="566"/>
      <c r="S45" s="109"/>
      <c r="T45" s="91"/>
      <c r="U45" s="92"/>
      <c r="V45" s="21"/>
      <c r="X45" s="659" t="s">
        <v>275</v>
      </c>
      <c r="Y45" s="660"/>
      <c r="Z45" s="660"/>
      <c r="AA45" s="660"/>
      <c r="AB45" s="660"/>
      <c r="AC45" s="660"/>
      <c r="AD45" s="660"/>
      <c r="AE45" s="660"/>
      <c r="AF45" s="660"/>
      <c r="AG45" s="660"/>
      <c r="AH45" s="660"/>
      <c r="AI45" s="660"/>
      <c r="AJ45" s="660"/>
      <c r="AK45" s="660"/>
      <c r="AL45" s="660"/>
      <c r="AM45" s="660"/>
      <c r="AN45" s="660"/>
      <c r="AQ45" s="89"/>
    </row>
    <row r="46" spans="1:43" ht="13.15" customHeight="1" x14ac:dyDescent="0.2">
      <c r="A46" s="19"/>
      <c r="B46" s="60"/>
      <c r="C46" s="24"/>
      <c r="D46" s="23"/>
      <c r="E46" s="155"/>
      <c r="F46" s="160"/>
      <c r="G46" s="160"/>
      <c r="H46" s="160"/>
      <c r="I46" s="160"/>
      <c r="J46" s="181"/>
      <c r="K46" s="182"/>
      <c r="L46" s="160"/>
      <c r="M46" s="160"/>
      <c r="N46" s="181"/>
      <c r="O46" s="98"/>
      <c r="P46" s="98"/>
      <c r="Q46" s="347"/>
      <c r="R46" s="161"/>
      <c r="S46" s="88"/>
      <c r="U46" s="89"/>
      <c r="V46" s="21"/>
      <c r="W46" s="2"/>
      <c r="X46" s="289"/>
      <c r="Y46" s="289"/>
      <c r="Z46" s="137"/>
      <c r="AA46" s="137"/>
      <c r="AB46" s="137"/>
      <c r="AC46" s="137"/>
      <c r="AD46" s="137"/>
      <c r="AE46" s="137"/>
      <c r="AF46" s="137"/>
      <c r="AG46" s="137"/>
      <c r="AQ46" s="89"/>
    </row>
    <row r="47" spans="1:43" ht="13.15" customHeight="1" x14ac:dyDescent="0.2">
      <c r="A47" s="19"/>
      <c r="B47" s="60"/>
      <c r="C47" s="28"/>
      <c r="D47" s="27"/>
      <c r="E47" s="320"/>
      <c r="F47" s="124"/>
      <c r="G47" s="124"/>
      <c r="H47" s="124"/>
      <c r="I47" s="124"/>
      <c r="J47" s="354"/>
      <c r="K47" s="321"/>
      <c r="L47" s="124"/>
      <c r="M47" s="124"/>
      <c r="N47" s="354"/>
      <c r="O47" s="110"/>
      <c r="P47" s="110"/>
      <c r="Q47" s="80"/>
      <c r="R47" s="80"/>
      <c r="S47" s="94"/>
      <c r="T47" s="95"/>
      <c r="U47" s="96"/>
      <c r="V47" s="21"/>
      <c r="X47" s="95"/>
      <c r="AQ47" s="89"/>
    </row>
    <row r="48" spans="1:43" ht="13.15" customHeight="1" x14ac:dyDescent="0.2">
      <c r="A48" s="26" t="s">
        <v>213</v>
      </c>
      <c r="B48" s="435"/>
      <c r="C48" s="24">
        <v>500</v>
      </c>
      <c r="D48" s="24">
        <v>1200</v>
      </c>
      <c r="E48" s="561" t="s">
        <v>482</v>
      </c>
      <c r="F48" s="562"/>
      <c r="G48" s="562"/>
      <c r="H48" s="562"/>
      <c r="I48" s="562"/>
      <c r="J48" s="563"/>
      <c r="K48" s="564" t="s">
        <v>319</v>
      </c>
      <c r="L48" s="562"/>
      <c r="M48" s="562"/>
      <c r="N48" s="563"/>
      <c r="O48" s="97" t="s">
        <v>377</v>
      </c>
      <c r="P48" s="97" t="s">
        <v>248</v>
      </c>
      <c r="Q48" s="565" t="s">
        <v>309</v>
      </c>
      <c r="R48" s="566"/>
      <c r="S48" s="109"/>
      <c r="T48" s="91"/>
      <c r="U48" s="92"/>
      <c r="V48" s="657" t="s">
        <v>274</v>
      </c>
      <c r="W48" s="118">
        <v>700</v>
      </c>
      <c r="X48" s="303" t="s">
        <v>437</v>
      </c>
      <c r="Y48" s="147"/>
      <c r="Z48" s="137"/>
      <c r="AA48" s="137"/>
      <c r="AB48" s="137"/>
      <c r="AC48" s="137"/>
      <c r="AD48" s="137"/>
      <c r="AE48" s="137"/>
      <c r="AQ48" s="89"/>
    </row>
    <row r="49" spans="1:43" ht="13.15" customHeight="1" x14ac:dyDescent="0.2">
      <c r="A49" s="19"/>
      <c r="B49" s="60"/>
      <c r="C49" s="24"/>
      <c r="D49" s="24"/>
      <c r="E49" s="155"/>
      <c r="F49" s="160"/>
      <c r="G49" s="160"/>
      <c r="H49" s="160"/>
      <c r="I49" s="160"/>
      <c r="J49" s="181"/>
      <c r="K49" s="182"/>
      <c r="L49" s="160"/>
      <c r="M49" s="160"/>
      <c r="N49" s="160"/>
      <c r="O49" s="98"/>
      <c r="P49" s="98"/>
      <c r="Q49" s="347"/>
      <c r="R49" s="161"/>
      <c r="S49" s="88"/>
      <c r="U49" s="89"/>
      <c r="V49" s="658"/>
      <c r="W49" s="1">
        <v>800</v>
      </c>
      <c r="X49" s="303" t="s">
        <v>437</v>
      </c>
      <c r="Y49" s="303" t="s">
        <v>437</v>
      </c>
      <c r="Z49" s="137"/>
      <c r="AA49" s="137"/>
      <c r="AB49" s="137"/>
      <c r="AC49" s="137"/>
      <c r="AD49" s="137"/>
      <c r="AE49" s="137"/>
      <c r="AQ49" s="89"/>
    </row>
    <row r="50" spans="1:43" ht="13.15" customHeight="1" x14ac:dyDescent="0.2">
      <c r="A50" s="20"/>
      <c r="B50" s="424"/>
      <c r="C50" s="28"/>
      <c r="D50" s="28"/>
      <c r="E50" s="320"/>
      <c r="F50" s="124"/>
      <c r="G50" s="124"/>
      <c r="H50" s="124"/>
      <c r="I50" s="124"/>
      <c r="J50" s="354"/>
      <c r="K50" s="321"/>
      <c r="L50" s="124"/>
      <c r="M50" s="124"/>
      <c r="N50" s="124"/>
      <c r="O50" s="110"/>
      <c r="P50" s="110"/>
      <c r="Q50" s="80"/>
      <c r="R50" s="80"/>
      <c r="S50" s="94"/>
      <c r="T50" s="95"/>
      <c r="U50" s="96"/>
      <c r="V50" s="658"/>
      <c r="W50" s="1">
        <v>900</v>
      </c>
      <c r="X50" s="303" t="s">
        <v>437</v>
      </c>
      <c r="Y50" s="303" t="s">
        <v>437</v>
      </c>
      <c r="Z50" s="303" t="s">
        <v>437</v>
      </c>
      <c r="AA50" s="147"/>
      <c r="AB50" s="137"/>
      <c r="AC50" s="137"/>
      <c r="AD50" s="137"/>
      <c r="AE50" s="137"/>
      <c r="AQ50" s="89"/>
    </row>
    <row r="51" spans="1:43" ht="13.15" customHeight="1" x14ac:dyDescent="0.2">
      <c r="A51" s="19" t="s">
        <v>264</v>
      </c>
      <c r="B51" s="60"/>
      <c r="C51" s="24" t="s">
        <v>364</v>
      </c>
      <c r="D51" s="24" t="s">
        <v>388</v>
      </c>
      <c r="E51" s="561" t="s">
        <v>310</v>
      </c>
      <c r="F51" s="562"/>
      <c r="G51" s="562"/>
      <c r="H51" s="562"/>
      <c r="I51" s="562"/>
      <c r="J51" s="563"/>
      <c r="K51" s="564" t="s">
        <v>655</v>
      </c>
      <c r="L51" s="562"/>
      <c r="M51" s="562"/>
      <c r="N51" s="563"/>
      <c r="O51" s="97" t="s">
        <v>377</v>
      </c>
      <c r="P51" s="97" t="s">
        <v>257</v>
      </c>
      <c r="Q51" s="565" t="s">
        <v>311</v>
      </c>
      <c r="R51" s="566"/>
      <c r="S51" s="109"/>
      <c r="T51" s="91"/>
      <c r="U51" s="92"/>
      <c r="V51" s="658"/>
      <c r="W51" s="1">
        <v>1000</v>
      </c>
      <c r="X51" s="303" t="s">
        <v>437</v>
      </c>
      <c r="Y51" s="303" t="s">
        <v>437</v>
      </c>
      <c r="Z51" s="303" t="s">
        <v>437</v>
      </c>
      <c r="AA51" s="303" t="s">
        <v>437</v>
      </c>
      <c r="AB51" s="137"/>
      <c r="AC51" s="137"/>
      <c r="AD51" s="137"/>
      <c r="AE51" s="137"/>
      <c r="AI51" s="374"/>
      <c r="AK51"/>
      <c r="AL51"/>
      <c r="AM51"/>
      <c r="AN51"/>
      <c r="AQ51" s="89"/>
    </row>
    <row r="52" spans="1:43" ht="13.15" customHeight="1" x14ac:dyDescent="0.2">
      <c r="A52" s="20"/>
      <c r="B52" s="424"/>
      <c r="C52" s="28"/>
      <c r="D52" s="28"/>
      <c r="E52" s="320"/>
      <c r="F52" s="349"/>
      <c r="G52" s="349"/>
      <c r="H52" s="349"/>
      <c r="I52" s="349"/>
      <c r="J52" s="350"/>
      <c r="K52" s="321"/>
      <c r="L52" s="349"/>
      <c r="M52" s="349"/>
      <c r="N52" s="350"/>
      <c r="O52" s="146"/>
      <c r="P52" s="146"/>
      <c r="Q52" s="351"/>
      <c r="R52" s="352"/>
      <c r="S52" s="88"/>
      <c r="U52" s="89"/>
      <c r="V52" s="658"/>
      <c r="W52" s="1">
        <v>1200</v>
      </c>
      <c r="X52" s="303" t="s">
        <v>437</v>
      </c>
      <c r="Y52" s="303" t="s">
        <v>437</v>
      </c>
      <c r="Z52" s="303" t="s">
        <v>437</v>
      </c>
      <c r="AA52" s="303" t="s">
        <v>437</v>
      </c>
      <c r="AB52" s="303" t="s">
        <v>437</v>
      </c>
      <c r="AC52" s="147"/>
      <c r="AD52" s="137"/>
      <c r="AE52" s="137"/>
      <c r="AI52" s="374"/>
      <c r="AQ52" s="89"/>
    </row>
    <row r="53" spans="1:43" ht="13.15" customHeight="1" x14ac:dyDescent="0.2">
      <c r="A53" s="19" t="s">
        <v>212</v>
      </c>
      <c r="B53" s="60"/>
      <c r="C53" s="24" t="s">
        <v>364</v>
      </c>
      <c r="D53" s="24" t="s">
        <v>388</v>
      </c>
      <c r="E53" s="561" t="s">
        <v>315</v>
      </c>
      <c r="F53" s="562"/>
      <c r="G53" s="562"/>
      <c r="H53" s="562"/>
      <c r="I53" s="562"/>
      <c r="J53" s="563"/>
      <c r="K53" s="564" t="s">
        <v>655</v>
      </c>
      <c r="L53" s="562"/>
      <c r="M53" s="562"/>
      <c r="N53" s="563"/>
      <c r="O53" s="97" t="s">
        <v>377</v>
      </c>
      <c r="P53" s="97" t="s">
        <v>257</v>
      </c>
      <c r="Q53" s="565" t="s">
        <v>316</v>
      </c>
      <c r="R53" s="566"/>
      <c r="S53" s="109"/>
      <c r="T53" s="91"/>
      <c r="U53" s="92"/>
      <c r="V53" s="658"/>
      <c r="W53" s="227"/>
      <c r="X53" s="142"/>
      <c r="Y53" s="142"/>
      <c r="Z53" s="142"/>
      <c r="AA53" s="139"/>
      <c r="AB53" s="139"/>
      <c r="AC53" s="139"/>
      <c r="AD53" s="137"/>
      <c r="AE53" s="137"/>
      <c r="AI53" s="374"/>
      <c r="AQ53" s="89"/>
    </row>
    <row r="54" spans="1:43" ht="13.15" customHeight="1" x14ac:dyDescent="0.2">
      <c r="A54" s="20"/>
      <c r="B54" s="424"/>
      <c r="C54" s="28"/>
      <c r="D54" s="28"/>
      <c r="E54" s="320"/>
      <c r="F54" s="349"/>
      <c r="G54" s="349"/>
      <c r="H54" s="349"/>
      <c r="I54" s="349"/>
      <c r="J54" s="350"/>
      <c r="K54" s="321"/>
      <c r="L54" s="349"/>
      <c r="M54" s="349"/>
      <c r="N54" s="350"/>
      <c r="O54" s="110"/>
      <c r="P54" s="110"/>
      <c r="Q54" s="353"/>
      <c r="R54" s="352"/>
      <c r="S54" s="94"/>
      <c r="T54" s="95"/>
      <c r="U54" s="96"/>
      <c r="V54" s="658"/>
      <c r="W54" s="1"/>
      <c r="X54" s="139"/>
      <c r="Y54" s="139"/>
      <c r="Z54" s="139"/>
      <c r="AA54" s="139"/>
      <c r="AB54" s="139"/>
      <c r="AC54" s="139"/>
      <c r="AD54" s="139"/>
      <c r="AE54" s="137"/>
      <c r="AI54" s="374"/>
      <c r="AJ54"/>
      <c r="AQ54" s="89"/>
    </row>
    <row r="55" spans="1:43" ht="13.15" customHeight="1" x14ac:dyDescent="0.2">
      <c r="A55" s="19" t="s">
        <v>211</v>
      </c>
      <c r="B55" s="60"/>
      <c r="C55" s="29">
        <v>500</v>
      </c>
      <c r="D55" s="25">
        <v>1200</v>
      </c>
      <c r="E55" s="561" t="s">
        <v>251</v>
      </c>
      <c r="F55" s="562"/>
      <c r="G55" s="562"/>
      <c r="H55" s="562"/>
      <c r="I55" s="562"/>
      <c r="J55" s="563"/>
      <c r="K55" s="564" t="s">
        <v>665</v>
      </c>
      <c r="L55" s="562"/>
      <c r="M55" s="562"/>
      <c r="N55" s="563"/>
      <c r="O55" s="97" t="s">
        <v>377</v>
      </c>
      <c r="P55" s="97"/>
      <c r="Q55" s="565" t="s">
        <v>312</v>
      </c>
      <c r="R55" s="566"/>
      <c r="S55" s="93" t="s">
        <v>664</v>
      </c>
      <c r="T55" s="91"/>
      <c r="U55" s="92"/>
      <c r="V55" s="658"/>
      <c r="W55" s="1"/>
      <c r="X55" s="139"/>
      <c r="Y55" s="139"/>
      <c r="Z55" s="139"/>
      <c r="AA55" s="139"/>
      <c r="AB55" s="139"/>
      <c r="AC55" s="139"/>
      <c r="AD55" s="139"/>
      <c r="AE55" s="139"/>
      <c r="AH55"/>
      <c r="AI55"/>
      <c r="AQ55" s="89"/>
    </row>
    <row r="56" spans="1:43" ht="13.15" customHeight="1" x14ac:dyDescent="0.2">
      <c r="A56" s="19"/>
      <c r="B56" s="60"/>
      <c r="C56" s="23"/>
      <c r="D56" s="23"/>
      <c r="E56" s="583"/>
      <c r="F56" s="549"/>
      <c r="G56" s="549"/>
      <c r="H56" s="549"/>
      <c r="I56" s="549"/>
      <c r="J56" s="550"/>
      <c r="K56" s="584"/>
      <c r="L56" s="549"/>
      <c r="M56" s="549"/>
      <c r="N56" s="550"/>
      <c r="O56" s="98"/>
      <c r="P56" s="98"/>
      <c r="Q56" s="585"/>
      <c r="R56" s="586"/>
      <c r="S56" s="93"/>
      <c r="U56" s="89"/>
      <c r="V56" s="290"/>
      <c r="X56">
        <v>700</v>
      </c>
      <c r="Y56">
        <v>800</v>
      </c>
      <c r="Z56">
        <v>900</v>
      </c>
      <c r="AA56">
        <v>1000</v>
      </c>
      <c r="AB56">
        <v>1200</v>
      </c>
      <c r="AQ56" s="89"/>
    </row>
    <row r="57" spans="1:43" ht="13.15" customHeight="1" x14ac:dyDescent="0.2">
      <c r="A57" s="19"/>
      <c r="B57" s="60"/>
      <c r="C57" s="27"/>
      <c r="D57" s="23"/>
      <c r="E57" s="155"/>
      <c r="F57" s="160"/>
      <c r="G57" s="160"/>
      <c r="H57" s="160"/>
      <c r="I57" s="160"/>
      <c r="J57" s="181"/>
      <c r="K57" s="182"/>
      <c r="L57" s="160"/>
      <c r="M57" s="160"/>
      <c r="N57" s="181"/>
      <c r="O57" s="98"/>
      <c r="P57" s="98"/>
      <c r="Q57" s="347"/>
      <c r="R57" s="161"/>
      <c r="S57" s="93"/>
      <c r="U57" s="89"/>
      <c r="V57" s="290"/>
      <c r="X57" s="659" t="s">
        <v>275</v>
      </c>
      <c r="Y57" s="660"/>
      <c r="Z57" s="660"/>
      <c r="AA57" s="660"/>
      <c r="AB57" s="660"/>
      <c r="AC57" s="660"/>
      <c r="AD57" s="660"/>
      <c r="AE57" s="660"/>
      <c r="AQ57" s="89"/>
    </row>
    <row r="58" spans="1:43" ht="13.15" customHeight="1" x14ac:dyDescent="0.2">
      <c r="A58" s="375" t="s">
        <v>547</v>
      </c>
      <c r="B58" s="462"/>
      <c r="C58" s="376"/>
      <c r="D58" s="376"/>
      <c r="E58" s="587"/>
      <c r="F58" s="588"/>
      <c r="G58" s="588"/>
      <c r="H58" s="588"/>
      <c r="I58" s="588"/>
      <c r="J58" s="589"/>
      <c r="K58" s="590"/>
      <c r="L58" s="588"/>
      <c r="M58" s="588"/>
      <c r="N58" s="589"/>
      <c r="O58" s="377"/>
      <c r="P58" s="377"/>
      <c r="Q58" s="591" t="s">
        <v>549</v>
      </c>
      <c r="R58" s="592"/>
      <c r="S58" s="378"/>
      <c r="T58" s="379"/>
      <c r="U58" s="380"/>
      <c r="V58" s="290"/>
      <c r="X58" s="338"/>
      <c r="Y58"/>
      <c r="Z58"/>
      <c r="AA58"/>
      <c r="AB58"/>
      <c r="AC58"/>
      <c r="AD58"/>
      <c r="AE58"/>
      <c r="AF58"/>
      <c r="AG58"/>
      <c r="AQ58" s="89"/>
    </row>
    <row r="59" spans="1:43" ht="13.15" customHeight="1" x14ac:dyDescent="0.2">
      <c r="A59" s="26" t="s">
        <v>278</v>
      </c>
      <c r="B59" s="60"/>
      <c r="C59" s="24" t="s">
        <v>210</v>
      </c>
      <c r="D59" s="25">
        <v>50</v>
      </c>
      <c r="E59" s="561" t="s">
        <v>507</v>
      </c>
      <c r="F59" s="595"/>
      <c r="G59" s="595"/>
      <c r="H59" s="595"/>
      <c r="I59" s="595"/>
      <c r="J59" s="596"/>
      <c r="K59" s="597" t="s">
        <v>450</v>
      </c>
      <c r="L59" s="598"/>
      <c r="M59" s="598"/>
      <c r="N59" s="599"/>
      <c r="O59" s="97" t="s">
        <v>341</v>
      </c>
      <c r="P59" s="97" t="s">
        <v>283</v>
      </c>
      <c r="Q59" s="565" t="s">
        <v>266</v>
      </c>
      <c r="R59" s="566"/>
      <c r="S59" s="90"/>
      <c r="T59" s="91"/>
      <c r="U59" s="92"/>
      <c r="V59" s="290"/>
      <c r="AQ59" s="89"/>
    </row>
    <row r="60" spans="1:43" ht="13.15" customHeight="1" x14ac:dyDescent="0.2">
      <c r="A60" s="178" t="s">
        <v>279</v>
      </c>
      <c r="B60" s="374"/>
      <c r="C60" s="24">
        <v>80</v>
      </c>
      <c r="D60" s="23">
        <v>400</v>
      </c>
      <c r="E60" s="583" t="s">
        <v>508</v>
      </c>
      <c r="F60" s="600"/>
      <c r="G60" s="600"/>
      <c r="H60" s="600"/>
      <c r="I60" s="600"/>
      <c r="J60" s="601"/>
      <c r="K60" s="616" t="s">
        <v>450</v>
      </c>
      <c r="L60" s="617"/>
      <c r="M60" s="617"/>
      <c r="N60" s="618"/>
      <c r="O60" s="98" t="s">
        <v>377</v>
      </c>
      <c r="P60" s="98" t="s">
        <v>283</v>
      </c>
      <c r="Q60" s="585" t="s">
        <v>266</v>
      </c>
      <c r="R60" s="615"/>
      <c r="S60" s="88"/>
      <c r="U60" s="89"/>
      <c r="V60" s="290"/>
      <c r="X60" s="2"/>
      <c r="AQ60" s="89"/>
    </row>
    <row r="61" spans="1:43" ht="13.15" customHeight="1" x14ac:dyDescent="0.2">
      <c r="A61" s="178" t="s">
        <v>280</v>
      </c>
      <c r="B61" s="374"/>
      <c r="C61" s="24">
        <v>500</v>
      </c>
      <c r="D61" s="23" t="s">
        <v>277</v>
      </c>
      <c r="E61" s="619" t="s">
        <v>509</v>
      </c>
      <c r="F61" s="620"/>
      <c r="G61" s="620"/>
      <c r="H61" s="620"/>
      <c r="I61" s="620"/>
      <c r="J61" s="621"/>
      <c r="K61" s="567" t="s">
        <v>450</v>
      </c>
      <c r="L61" s="568"/>
      <c r="M61" s="568"/>
      <c r="N61" s="569"/>
      <c r="O61" s="156" t="s">
        <v>377</v>
      </c>
      <c r="P61" s="156" t="s">
        <v>283</v>
      </c>
      <c r="Q61" s="570" t="s">
        <v>266</v>
      </c>
      <c r="R61" s="571"/>
      <c r="S61" s="88"/>
      <c r="U61" s="89"/>
      <c r="V61" s="290"/>
      <c r="W61" s="624" t="s">
        <v>259</v>
      </c>
      <c r="X61" s="551" t="s">
        <v>197</v>
      </c>
      <c r="Y61" s="552"/>
      <c r="Z61" s="552"/>
      <c r="AA61" s="552"/>
      <c r="AB61" s="552"/>
      <c r="AC61" s="552"/>
      <c r="AD61" s="553"/>
      <c r="AE61" s="557" t="s">
        <v>241</v>
      </c>
      <c r="AF61" s="552"/>
      <c r="AG61" s="552"/>
      <c r="AH61" s="553"/>
      <c r="AI61" s="559" t="s">
        <v>243</v>
      </c>
      <c r="AJ61" s="559" t="s">
        <v>242</v>
      </c>
      <c r="AK61" s="557" t="s">
        <v>244</v>
      </c>
      <c r="AL61" s="553"/>
      <c r="AM61" s="557" t="s">
        <v>245</v>
      </c>
      <c r="AN61" s="626"/>
      <c r="AO61" s="626"/>
      <c r="AP61" s="627"/>
      <c r="AQ61" s="89"/>
    </row>
    <row r="62" spans="1:43" ht="13.15" customHeight="1" x14ac:dyDescent="0.2">
      <c r="A62" s="178" t="s">
        <v>281</v>
      </c>
      <c r="B62" s="374"/>
      <c r="C62" s="24"/>
      <c r="D62" s="23"/>
      <c r="E62" s="155"/>
      <c r="F62" s="80"/>
      <c r="G62" s="80"/>
      <c r="H62" s="80"/>
      <c r="I62" s="80"/>
      <c r="J62" s="80"/>
      <c r="K62" s="80"/>
      <c r="L62" s="80"/>
      <c r="M62" s="80"/>
      <c r="N62" s="80"/>
      <c r="O62" s="80"/>
      <c r="P62" s="80"/>
      <c r="Q62" s="80"/>
      <c r="R62" s="80"/>
      <c r="S62" s="88"/>
      <c r="U62" s="89"/>
      <c r="V62" s="290"/>
      <c r="W62" s="625"/>
      <c r="X62" s="554"/>
      <c r="Y62" s="555"/>
      <c r="Z62" s="555"/>
      <c r="AA62" s="555"/>
      <c r="AB62" s="555"/>
      <c r="AC62" s="555"/>
      <c r="AD62" s="556"/>
      <c r="AE62" s="558"/>
      <c r="AF62" s="555"/>
      <c r="AG62" s="555"/>
      <c r="AH62" s="556"/>
      <c r="AI62" s="560"/>
      <c r="AJ62" s="560"/>
      <c r="AK62" s="558"/>
      <c r="AL62" s="556"/>
      <c r="AM62" s="628"/>
      <c r="AN62" s="586"/>
      <c r="AO62" s="586"/>
      <c r="AP62" s="629"/>
      <c r="AQ62" s="89"/>
    </row>
    <row r="63" spans="1:43" ht="13.15" customHeight="1" x14ac:dyDescent="0.2">
      <c r="A63" s="178" t="s">
        <v>282</v>
      </c>
      <c r="B63" s="374"/>
      <c r="C63" s="23"/>
      <c r="D63" s="22"/>
      <c r="E63" s="155"/>
      <c r="F63" s="80"/>
      <c r="G63" s="80"/>
      <c r="H63" s="80"/>
      <c r="I63" s="80"/>
      <c r="J63" s="80"/>
      <c r="K63" s="80"/>
      <c r="L63" s="80"/>
      <c r="M63" s="80"/>
      <c r="N63" s="80"/>
      <c r="O63" s="80"/>
      <c r="P63" s="80"/>
      <c r="Q63" s="80"/>
      <c r="R63" s="80"/>
      <c r="S63" s="94"/>
      <c r="T63" s="95"/>
      <c r="U63" s="96"/>
      <c r="V63" s="290"/>
      <c r="W63" s="127" t="s">
        <v>390</v>
      </c>
      <c r="X63" s="630" t="s">
        <v>349</v>
      </c>
      <c r="Y63" s="552"/>
      <c r="Z63" s="552"/>
      <c r="AA63" s="552"/>
      <c r="AB63" s="552"/>
      <c r="AC63" s="552"/>
      <c r="AD63" s="553"/>
      <c r="AE63" s="572">
        <v>1.0345</v>
      </c>
      <c r="AF63" s="573"/>
      <c r="AG63" s="573"/>
      <c r="AH63" s="574"/>
      <c r="AI63" s="125" t="s">
        <v>236</v>
      </c>
      <c r="AJ63" s="125" t="s">
        <v>246</v>
      </c>
      <c r="AK63" s="575" t="s">
        <v>348</v>
      </c>
      <c r="AL63" s="576"/>
      <c r="AM63" s="90"/>
      <c r="AN63" s="91"/>
      <c r="AO63" s="91"/>
      <c r="AP63" s="129"/>
      <c r="AQ63" s="89"/>
    </row>
    <row r="64" spans="1:43" ht="13.15" customHeight="1" x14ac:dyDescent="0.2">
      <c r="A64" s="577" t="s">
        <v>657</v>
      </c>
      <c r="B64" s="578"/>
      <c r="C64" s="579"/>
      <c r="D64" s="579"/>
      <c r="E64" s="579"/>
      <c r="F64" s="579"/>
      <c r="G64" s="579"/>
      <c r="H64" s="579"/>
      <c r="I64" s="579"/>
      <c r="J64" s="579"/>
      <c r="K64" s="579"/>
      <c r="L64" s="579"/>
      <c r="M64" s="579"/>
      <c r="N64" s="579"/>
      <c r="O64" s="579"/>
      <c r="P64" s="579"/>
      <c r="Q64" s="579"/>
      <c r="R64" s="580"/>
      <c r="S64" s="327" t="s">
        <v>479</v>
      </c>
      <c r="T64" s="91"/>
      <c r="U64" s="92"/>
      <c r="V64" s="290"/>
      <c r="W64" s="128" t="s">
        <v>391</v>
      </c>
      <c r="X64" s="546" t="s">
        <v>350</v>
      </c>
      <c r="Y64" s="547"/>
      <c r="Z64" s="547"/>
      <c r="AA64" s="547"/>
      <c r="AB64" s="547"/>
      <c r="AC64" s="547"/>
      <c r="AD64" s="548"/>
      <c r="AE64" s="541">
        <v>1.0345</v>
      </c>
      <c r="AF64" s="542"/>
      <c r="AG64" s="542"/>
      <c r="AH64" s="543"/>
      <c r="AI64" s="126" t="s">
        <v>236</v>
      </c>
      <c r="AJ64" s="126" t="s">
        <v>246</v>
      </c>
      <c r="AK64" s="544" t="s">
        <v>348</v>
      </c>
      <c r="AL64" s="545"/>
      <c r="AM64" s="88"/>
      <c r="AP64" s="130"/>
      <c r="AQ64" s="89"/>
    </row>
    <row r="65" spans="1:43" ht="13.15" customHeight="1" x14ac:dyDescent="0.2">
      <c r="A65" s="581"/>
      <c r="B65" s="540"/>
      <c r="C65" s="540"/>
      <c r="D65" s="540"/>
      <c r="E65" s="540"/>
      <c r="F65" s="540"/>
      <c r="G65" s="540"/>
      <c r="H65" s="540"/>
      <c r="I65" s="540"/>
      <c r="J65" s="540"/>
      <c r="K65" s="540"/>
      <c r="L65" s="540"/>
      <c r="M65" s="540"/>
      <c r="N65" s="540"/>
      <c r="O65" s="540"/>
      <c r="P65" s="540"/>
      <c r="Q65" s="540"/>
      <c r="R65" s="582"/>
      <c r="S65" s="93" t="s">
        <v>480</v>
      </c>
      <c r="U65" s="89"/>
      <c r="V65" s="290"/>
      <c r="W65" s="128" t="s">
        <v>345</v>
      </c>
      <c r="X65" s="546" t="s">
        <v>431</v>
      </c>
      <c r="Y65" s="547"/>
      <c r="Z65" s="547"/>
      <c r="AA65" s="547"/>
      <c r="AB65" s="547"/>
      <c r="AC65" s="547"/>
      <c r="AD65" s="548"/>
      <c r="AE65" s="541" t="s">
        <v>408</v>
      </c>
      <c r="AF65" s="549"/>
      <c r="AG65" s="549"/>
      <c r="AH65" s="550"/>
      <c r="AI65" s="126" t="s">
        <v>236</v>
      </c>
      <c r="AJ65" s="126" t="s">
        <v>328</v>
      </c>
      <c r="AK65" s="544" t="s">
        <v>347</v>
      </c>
      <c r="AL65" s="545"/>
      <c r="AM65" s="329" t="s">
        <v>515</v>
      </c>
      <c r="AP65" s="130"/>
      <c r="AQ65" s="89"/>
    </row>
    <row r="66" spans="1:43" ht="13.15" customHeight="1" x14ac:dyDescent="0.2">
      <c r="A66" s="581"/>
      <c r="B66" s="540"/>
      <c r="C66" s="540"/>
      <c r="D66" s="540"/>
      <c r="E66" s="540"/>
      <c r="F66" s="540"/>
      <c r="G66" s="540"/>
      <c r="H66" s="540"/>
      <c r="I66" s="540"/>
      <c r="J66" s="540"/>
      <c r="K66" s="540"/>
      <c r="L66" s="540"/>
      <c r="M66" s="540"/>
      <c r="N66" s="540"/>
      <c r="O66" s="540"/>
      <c r="P66" s="540"/>
      <c r="Q66" s="540"/>
      <c r="R66" s="582"/>
      <c r="S66" s="93" t="s">
        <v>486</v>
      </c>
      <c r="U66" s="89"/>
      <c r="V66" s="290"/>
      <c r="W66" s="128" t="s">
        <v>345</v>
      </c>
      <c r="X66" s="546" t="s">
        <v>431</v>
      </c>
      <c r="Y66" s="547"/>
      <c r="Z66" s="547"/>
      <c r="AA66" s="547"/>
      <c r="AB66" s="547"/>
      <c r="AC66" s="547"/>
      <c r="AD66" s="548"/>
      <c r="AE66" s="541" t="s">
        <v>516</v>
      </c>
      <c r="AF66" s="542"/>
      <c r="AG66" s="542"/>
      <c r="AH66" s="543"/>
      <c r="AI66" s="126" t="s">
        <v>236</v>
      </c>
      <c r="AJ66" s="126" t="s">
        <v>328</v>
      </c>
      <c r="AK66" s="544" t="s">
        <v>347</v>
      </c>
      <c r="AL66" s="545"/>
      <c r="AM66" s="329" t="s">
        <v>517</v>
      </c>
      <c r="AN66" s="60"/>
      <c r="AO66" s="60"/>
      <c r="AP66" s="130"/>
      <c r="AQ66" s="89"/>
    </row>
    <row r="67" spans="1:43" ht="13.15" customHeight="1" x14ac:dyDescent="0.2">
      <c r="A67" s="581"/>
      <c r="B67" s="540"/>
      <c r="C67" s="540"/>
      <c r="D67" s="540"/>
      <c r="E67" s="540"/>
      <c r="F67" s="540"/>
      <c r="G67" s="540"/>
      <c r="H67" s="540"/>
      <c r="I67" s="540"/>
      <c r="J67" s="540"/>
      <c r="K67" s="540"/>
      <c r="L67" s="540"/>
      <c r="M67" s="540"/>
      <c r="N67" s="540"/>
      <c r="O67" s="540"/>
      <c r="P67" s="540"/>
      <c r="Q67" s="540"/>
      <c r="R67" s="582"/>
      <c r="S67" s="93" t="s">
        <v>487</v>
      </c>
      <c r="U67" s="89"/>
      <c r="V67" s="290"/>
      <c r="W67" s="128" t="s">
        <v>346</v>
      </c>
      <c r="X67" s="546" t="s">
        <v>432</v>
      </c>
      <c r="Y67" s="547"/>
      <c r="Z67" s="547"/>
      <c r="AA67" s="547"/>
      <c r="AB67" s="547"/>
      <c r="AC67" s="547"/>
      <c r="AD67" s="548"/>
      <c r="AE67" s="541" t="s">
        <v>408</v>
      </c>
      <c r="AF67" s="542"/>
      <c r="AG67" s="542"/>
      <c r="AH67" s="543"/>
      <c r="AI67" s="126" t="s">
        <v>236</v>
      </c>
      <c r="AJ67" s="126" t="s">
        <v>328</v>
      </c>
      <c r="AK67" s="544" t="s">
        <v>347</v>
      </c>
      <c r="AL67" s="545"/>
      <c r="AM67" s="329" t="s">
        <v>631</v>
      </c>
      <c r="AP67" s="130"/>
      <c r="AQ67" s="89"/>
    </row>
    <row r="68" spans="1:43" ht="13.15" customHeight="1" x14ac:dyDescent="0.2">
      <c r="A68" s="581"/>
      <c r="B68" s="540"/>
      <c r="C68" s="540"/>
      <c r="D68" s="540"/>
      <c r="E68" s="540"/>
      <c r="F68" s="540"/>
      <c r="G68" s="540"/>
      <c r="H68" s="540"/>
      <c r="I68" s="540"/>
      <c r="J68" s="540"/>
      <c r="K68" s="540"/>
      <c r="L68" s="540"/>
      <c r="M68" s="540"/>
      <c r="N68" s="540"/>
      <c r="O68" s="540"/>
      <c r="P68" s="540"/>
      <c r="Q68" s="540"/>
      <c r="R68" s="582"/>
      <c r="S68" s="93" t="s">
        <v>488</v>
      </c>
      <c r="U68" s="89"/>
      <c r="V68" s="290"/>
      <c r="W68" s="128" t="s">
        <v>328</v>
      </c>
      <c r="X68" s="546" t="s">
        <v>395</v>
      </c>
      <c r="Y68" s="547"/>
      <c r="Z68" s="547"/>
      <c r="AA68" s="547"/>
      <c r="AB68" s="547"/>
      <c r="AC68" s="547"/>
      <c r="AD68" s="548"/>
      <c r="AE68" s="541" t="s">
        <v>417</v>
      </c>
      <c r="AF68" s="542"/>
      <c r="AG68" s="542"/>
      <c r="AH68" s="543"/>
      <c r="AI68" s="126" t="s">
        <v>236</v>
      </c>
      <c r="AJ68" s="126" t="s">
        <v>328</v>
      </c>
      <c r="AK68" s="544" t="s">
        <v>347</v>
      </c>
      <c r="AL68" s="545"/>
      <c r="AM68" s="329" t="s">
        <v>631</v>
      </c>
      <c r="AP68" s="130"/>
      <c r="AQ68" s="89"/>
    </row>
    <row r="69" spans="1:43" ht="13.15" customHeight="1" x14ac:dyDescent="0.2">
      <c r="A69" s="581"/>
      <c r="B69" s="540"/>
      <c r="C69" s="540"/>
      <c r="D69" s="540"/>
      <c r="E69" s="540"/>
      <c r="F69" s="540"/>
      <c r="G69" s="540"/>
      <c r="H69" s="540"/>
      <c r="I69" s="540"/>
      <c r="J69" s="540"/>
      <c r="K69" s="540"/>
      <c r="L69" s="540"/>
      <c r="M69" s="540"/>
      <c r="N69" s="540"/>
      <c r="O69" s="540"/>
      <c r="P69" s="540"/>
      <c r="Q69" s="540"/>
      <c r="R69" s="582"/>
      <c r="S69" s="60" t="s">
        <v>499</v>
      </c>
      <c r="U69" s="89"/>
      <c r="V69" s="290"/>
      <c r="W69" s="132"/>
      <c r="X69" s="94"/>
      <c r="Y69" s="95"/>
      <c r="Z69" s="95"/>
      <c r="AA69" s="95"/>
      <c r="AB69" s="95"/>
      <c r="AC69" s="95"/>
      <c r="AD69" s="133"/>
      <c r="AE69" s="134"/>
      <c r="AF69" s="95"/>
      <c r="AG69" s="95"/>
      <c r="AH69" s="133"/>
      <c r="AI69" s="135"/>
      <c r="AJ69" s="135"/>
      <c r="AK69" s="134"/>
      <c r="AL69" s="131"/>
      <c r="AM69" s="95"/>
      <c r="AN69" s="95"/>
      <c r="AO69" s="95"/>
      <c r="AP69" s="131"/>
      <c r="AQ69" s="89"/>
    </row>
    <row r="70" spans="1:43" ht="13.15" customHeight="1" x14ac:dyDescent="0.2">
      <c r="A70" s="622" t="s">
        <v>535</v>
      </c>
      <c r="B70" s="623"/>
      <c r="C70" s="623"/>
      <c r="D70" s="623"/>
      <c r="E70" s="623"/>
      <c r="F70" s="623"/>
      <c r="G70" s="623"/>
      <c r="H70" s="623"/>
      <c r="I70" s="623"/>
      <c r="J70" s="623"/>
      <c r="K70" s="623"/>
      <c r="L70" s="623"/>
      <c r="M70" s="623"/>
      <c r="N70" s="623"/>
      <c r="O70" s="623"/>
      <c r="P70" s="623"/>
      <c r="Q70" s="623"/>
      <c r="R70" s="623"/>
      <c r="S70" s="93" t="s">
        <v>498</v>
      </c>
      <c r="U70" s="89"/>
      <c r="V70" s="290"/>
      <c r="AQ70" s="89"/>
    </row>
    <row r="71" spans="1:43" ht="13.15" customHeight="1" x14ac:dyDescent="0.2">
      <c r="A71" s="19" t="s">
        <v>260</v>
      </c>
      <c r="B71" s="435"/>
      <c r="C71" s="583" t="s">
        <v>269</v>
      </c>
      <c r="D71" s="602"/>
      <c r="E71" s="602"/>
      <c r="F71" s="602"/>
      <c r="G71" s="602"/>
      <c r="H71" s="602"/>
      <c r="I71" s="602"/>
      <c r="J71" s="602"/>
      <c r="K71" s="602"/>
      <c r="L71" s="602"/>
      <c r="M71" s="602"/>
      <c r="N71" s="602"/>
      <c r="O71" s="602"/>
      <c r="P71" s="602"/>
      <c r="Q71" s="602"/>
      <c r="R71" s="602"/>
      <c r="S71" s="93" t="s">
        <v>489</v>
      </c>
      <c r="U71" s="89"/>
      <c r="V71" s="290"/>
      <c r="AQ71" s="89"/>
    </row>
    <row r="72" spans="1:43" ht="13.15" customHeight="1" x14ac:dyDescent="0.2">
      <c r="A72" s="375" t="s">
        <v>478</v>
      </c>
      <c r="B72" s="463"/>
      <c r="C72" s="587" t="s">
        <v>269</v>
      </c>
      <c r="D72" s="609"/>
      <c r="E72" s="609"/>
      <c r="F72" s="609"/>
      <c r="G72" s="609"/>
      <c r="H72" s="609"/>
      <c r="I72" s="609"/>
      <c r="J72" s="609"/>
      <c r="K72" s="609"/>
      <c r="L72" s="609"/>
      <c r="M72" s="609"/>
      <c r="N72" s="609"/>
      <c r="O72" s="609"/>
      <c r="P72" s="609"/>
      <c r="Q72" s="609"/>
      <c r="R72" s="609"/>
      <c r="S72" s="93" t="s">
        <v>490</v>
      </c>
      <c r="U72" s="89"/>
      <c r="V72" s="290"/>
      <c r="AQ72" s="89"/>
    </row>
    <row r="73" spans="1:43" ht="13.15" customHeight="1" x14ac:dyDescent="0.2">
      <c r="A73" s="19" t="s">
        <v>372</v>
      </c>
      <c r="B73" s="60"/>
      <c r="C73" s="583" t="s">
        <v>320</v>
      </c>
      <c r="D73" s="600"/>
      <c r="E73" s="600"/>
      <c r="F73" s="600"/>
      <c r="G73" s="600"/>
      <c r="H73" s="600"/>
      <c r="I73" s="600"/>
      <c r="J73" s="600"/>
      <c r="K73" s="600"/>
      <c r="L73" s="600"/>
      <c r="M73" s="600"/>
      <c r="N73" s="600"/>
      <c r="O73" s="600"/>
      <c r="P73" s="600"/>
      <c r="Q73" s="600"/>
      <c r="R73" s="600"/>
      <c r="S73" s="93" t="s">
        <v>491</v>
      </c>
      <c r="U73" s="89"/>
      <c r="V73" s="21"/>
      <c r="AQ73" s="89"/>
    </row>
    <row r="74" spans="1:43" ht="13.15" customHeight="1" x14ac:dyDescent="0.2">
      <c r="A74" s="19" t="s">
        <v>373</v>
      </c>
      <c r="B74" s="60"/>
      <c r="C74" s="610" t="s">
        <v>626</v>
      </c>
      <c r="D74" s="611"/>
      <c r="E74" s="611"/>
      <c r="F74" s="611"/>
      <c r="G74" s="611"/>
      <c r="H74" s="611"/>
      <c r="I74" s="611"/>
      <c r="J74" s="611"/>
      <c r="K74" s="611"/>
      <c r="L74" s="611"/>
      <c r="M74" s="611"/>
      <c r="N74" s="611"/>
      <c r="O74" s="611"/>
      <c r="P74" s="611"/>
      <c r="Q74" s="611"/>
      <c r="R74" s="612"/>
      <c r="S74" s="93" t="s">
        <v>492</v>
      </c>
      <c r="U74" s="89"/>
      <c r="V74" s="21"/>
      <c r="AQ74" s="89"/>
    </row>
    <row r="75" spans="1:43" ht="13.15" customHeight="1" x14ac:dyDescent="0.2">
      <c r="A75" s="19" t="s">
        <v>261</v>
      </c>
      <c r="B75" s="60"/>
      <c r="C75" s="610" t="s">
        <v>321</v>
      </c>
      <c r="D75" s="613"/>
      <c r="E75" s="613"/>
      <c r="F75" s="613"/>
      <c r="G75" s="613"/>
      <c r="H75" s="613"/>
      <c r="I75" s="613"/>
      <c r="J75" s="613"/>
      <c r="K75" s="613"/>
      <c r="L75" s="613"/>
      <c r="M75" s="613"/>
      <c r="N75" s="613"/>
      <c r="O75" s="613"/>
      <c r="P75" s="613"/>
      <c r="Q75" s="613"/>
      <c r="R75" s="614"/>
      <c r="S75" s="93" t="s">
        <v>493</v>
      </c>
      <c r="U75" s="89"/>
      <c r="V75" s="21"/>
      <c r="AQ75" s="89"/>
    </row>
    <row r="76" spans="1:43" ht="13.15" customHeight="1" x14ac:dyDescent="0.2">
      <c r="A76" s="19" t="s">
        <v>262</v>
      </c>
      <c r="B76" s="60"/>
      <c r="C76" s="583" t="s">
        <v>324</v>
      </c>
      <c r="D76" s="600"/>
      <c r="E76" s="600"/>
      <c r="F76" s="600"/>
      <c r="G76" s="600"/>
      <c r="H76" s="600"/>
      <c r="I76" s="600"/>
      <c r="J76" s="600"/>
      <c r="K76" s="600"/>
      <c r="L76" s="600"/>
      <c r="M76" s="600"/>
      <c r="N76" s="600"/>
      <c r="O76" s="600"/>
      <c r="P76" s="600"/>
      <c r="Q76" s="600"/>
      <c r="R76" s="600"/>
      <c r="S76" s="88"/>
      <c r="U76" s="89"/>
      <c r="V76" s="21"/>
      <c r="AQ76" s="89"/>
    </row>
    <row r="77" spans="1:43" ht="13.15" customHeight="1" x14ac:dyDescent="0.2">
      <c r="A77" s="19"/>
      <c r="B77" s="60"/>
      <c r="C77" s="583" t="s">
        <v>228</v>
      </c>
      <c r="D77" s="600"/>
      <c r="E77" s="600"/>
      <c r="F77" s="600"/>
      <c r="G77" s="600"/>
      <c r="H77" s="600"/>
      <c r="I77" s="600"/>
      <c r="J77" s="600"/>
      <c r="K77" s="600"/>
      <c r="L77" s="600"/>
      <c r="M77" s="600"/>
      <c r="N77" s="600"/>
      <c r="O77" s="600"/>
      <c r="P77" s="600"/>
      <c r="Q77" s="600"/>
      <c r="R77" s="600"/>
      <c r="S77" s="88"/>
      <c r="U77" s="89"/>
      <c r="V77" s="21"/>
      <c r="AQ77" s="89"/>
    </row>
    <row r="78" spans="1:43" ht="13.15" customHeight="1" thickBot="1" x14ac:dyDescent="0.25">
      <c r="A78" s="19"/>
      <c r="B78" s="60"/>
      <c r="C78" s="583" t="s">
        <v>270</v>
      </c>
      <c r="D78" s="602"/>
      <c r="E78" s="602"/>
      <c r="F78" s="602"/>
      <c r="G78" s="602"/>
      <c r="H78" s="602"/>
      <c r="I78" s="602"/>
      <c r="J78" s="602"/>
      <c r="K78" s="602"/>
      <c r="L78" s="602"/>
      <c r="M78" s="602"/>
      <c r="N78" s="602"/>
      <c r="O78" s="602"/>
      <c r="P78" s="602"/>
      <c r="Q78" s="602"/>
      <c r="R78" s="602"/>
      <c r="S78" s="326"/>
      <c r="T78" s="143"/>
      <c r="U78" s="144"/>
      <c r="V78" s="21"/>
      <c r="W78" s="143"/>
      <c r="X78" s="143"/>
      <c r="Y78" s="143"/>
      <c r="Z78" s="143"/>
      <c r="AA78" s="143"/>
      <c r="AB78" s="143"/>
      <c r="AC78" s="143"/>
      <c r="AD78" s="143"/>
      <c r="AE78" s="143"/>
      <c r="AF78" s="143"/>
      <c r="AG78" s="143"/>
      <c r="AH78" s="143"/>
      <c r="AI78" s="143"/>
      <c r="AJ78" s="143"/>
      <c r="AK78" s="143"/>
      <c r="AL78" s="143"/>
      <c r="AM78" s="143"/>
      <c r="AN78" s="143"/>
      <c r="AO78" s="143"/>
      <c r="AP78" s="143"/>
      <c r="AQ78" s="89"/>
    </row>
    <row r="79" spans="1:43" ht="13.15" customHeight="1" x14ac:dyDescent="0.2">
      <c r="A79" s="162" t="s">
        <v>209</v>
      </c>
      <c r="B79" s="464"/>
      <c r="C79" s="18" t="s">
        <v>208</v>
      </c>
      <c r="D79" s="16"/>
      <c r="E79" s="18" t="s">
        <v>207</v>
      </c>
      <c r="F79" s="18"/>
      <c r="G79" s="18" t="s">
        <v>206</v>
      </c>
      <c r="H79" s="17" t="e">
        <f>#REF!</f>
        <v>#REF!</v>
      </c>
      <c r="I79" s="16"/>
      <c r="J79" s="16"/>
      <c r="K79" s="16"/>
      <c r="L79" s="16"/>
      <c r="M79" s="16"/>
      <c r="N79" s="16"/>
      <c r="O79" s="16"/>
      <c r="P79" s="16"/>
      <c r="Q79" s="16"/>
      <c r="R79" s="16"/>
      <c r="S79" s="103"/>
      <c r="T79" s="103"/>
      <c r="U79" s="145"/>
      <c r="V79" s="162" t="s">
        <v>209</v>
      </c>
      <c r="W79" s="16"/>
      <c r="X79" s="163"/>
      <c r="Y79" s="18" t="s">
        <v>208</v>
      </c>
      <c r="Z79" s="16"/>
      <c r="AA79" s="18" t="s">
        <v>207</v>
      </c>
      <c r="AB79" s="18"/>
      <c r="AC79" s="18" t="s">
        <v>206</v>
      </c>
      <c r="AD79" s="17" t="e">
        <f>H79</f>
        <v>#REF!</v>
      </c>
      <c r="AE79" s="16"/>
      <c r="AF79" s="16"/>
      <c r="AG79" s="16"/>
      <c r="AH79" s="16"/>
      <c r="AI79" s="16"/>
      <c r="AJ79" s="16"/>
      <c r="AK79" s="16"/>
      <c r="AL79" s="16"/>
      <c r="AM79" s="16"/>
      <c r="AN79" s="103"/>
      <c r="AO79" s="103"/>
      <c r="AP79" s="103"/>
      <c r="AQ79" s="145"/>
    </row>
    <row r="80" spans="1:43" ht="13.15" customHeight="1" thickBot="1" x14ac:dyDescent="0.25">
      <c r="A80" s="159" t="e">
        <f>#REF!</f>
        <v>#REF!</v>
      </c>
      <c r="B80" s="175"/>
      <c r="C80" s="603" t="e">
        <f>#REF!</f>
        <v>#REF!</v>
      </c>
      <c r="D80" s="604"/>
      <c r="E80" s="605" t="e">
        <f>#REF!</f>
        <v>#REF!</v>
      </c>
      <c r="F80" s="606"/>
      <c r="G80" s="15"/>
      <c r="H80" s="14"/>
      <c r="I80" s="14"/>
      <c r="J80" s="14"/>
      <c r="K80" s="14"/>
      <c r="L80" s="14"/>
      <c r="M80" s="14"/>
      <c r="N80" s="14"/>
      <c r="O80" s="14"/>
      <c r="P80" s="14"/>
      <c r="Q80" s="14"/>
      <c r="R80" s="14"/>
      <c r="S80" s="143"/>
      <c r="T80" s="143"/>
      <c r="U80" s="144"/>
      <c r="V80" s="121"/>
      <c r="W80" s="14" t="e">
        <f>A80</f>
        <v>#REF!</v>
      </c>
      <c r="X80" s="164"/>
      <c r="Y80" s="603" t="e">
        <f>C80</f>
        <v>#REF!</v>
      </c>
      <c r="Z80" s="607"/>
      <c r="AA80" s="605" t="e">
        <f>E80</f>
        <v>#REF!</v>
      </c>
      <c r="AB80" s="608"/>
      <c r="AC80" s="15"/>
      <c r="AD80" s="14"/>
      <c r="AE80" s="14"/>
      <c r="AF80" s="14"/>
      <c r="AG80" s="14"/>
      <c r="AH80" s="14"/>
      <c r="AI80" s="14"/>
      <c r="AJ80" s="14"/>
      <c r="AK80" s="14"/>
      <c r="AL80" s="14"/>
      <c r="AM80" s="14"/>
      <c r="AN80" s="143"/>
      <c r="AO80" s="143"/>
      <c r="AP80" s="143"/>
      <c r="AQ80" s="144"/>
    </row>
    <row r="95" spans="24:42" x14ac:dyDescent="0.2">
      <c r="X95" s="310"/>
      <c r="Y95" s="310"/>
      <c r="Z95" s="311"/>
      <c r="AA95" s="311"/>
      <c r="AB95" s="311"/>
      <c r="AC95" s="311"/>
      <c r="AD95" s="311"/>
      <c r="AE95" s="311"/>
      <c r="AF95" s="310"/>
      <c r="AG95" s="311"/>
      <c r="AH95" s="311"/>
      <c r="AI95" s="311"/>
      <c r="AJ95" s="310"/>
      <c r="AK95" s="310"/>
      <c r="AL95" s="310"/>
      <c r="AM95" s="311"/>
      <c r="AN95" s="310"/>
      <c r="AO95" s="161"/>
      <c r="AP95" s="161"/>
    </row>
    <row r="96" spans="24:42" x14ac:dyDescent="0.2">
      <c r="X96" s="161"/>
      <c r="Y96" s="311"/>
      <c r="Z96" s="311"/>
      <c r="AA96" s="311"/>
      <c r="AB96" s="311"/>
      <c r="AC96" s="311"/>
      <c r="AD96" s="311"/>
      <c r="AE96" s="311"/>
      <c r="AF96" s="311"/>
      <c r="AG96" s="311"/>
      <c r="AH96" s="311"/>
      <c r="AI96" s="311"/>
      <c r="AJ96" s="311"/>
      <c r="AK96" s="311"/>
      <c r="AL96" s="311"/>
      <c r="AM96" s="311"/>
      <c r="AN96" s="161"/>
      <c r="AO96" s="161"/>
      <c r="AP96" s="161"/>
    </row>
    <row r="97" spans="24:42" x14ac:dyDescent="0.2">
      <c r="X97" s="312"/>
      <c r="Y97" s="313"/>
      <c r="Z97" s="311"/>
      <c r="AA97" s="311"/>
      <c r="AB97" s="311"/>
      <c r="AC97" s="311"/>
      <c r="AD97" s="311"/>
      <c r="AE97" s="311"/>
      <c r="AF97" s="313"/>
      <c r="AG97" s="291"/>
      <c r="AH97" s="291"/>
      <c r="AI97" s="291"/>
      <c r="AJ97" s="312"/>
      <c r="AK97" s="312"/>
      <c r="AL97" s="312"/>
      <c r="AM97" s="161"/>
    </row>
    <row r="98" spans="24:42" x14ac:dyDescent="0.2">
      <c r="X98" s="312"/>
      <c r="Y98" s="313"/>
      <c r="Z98" s="311"/>
      <c r="AA98" s="311"/>
      <c r="AB98" s="311"/>
      <c r="AC98" s="311"/>
      <c r="AD98" s="311"/>
      <c r="AE98" s="311"/>
      <c r="AF98" s="313"/>
      <c r="AG98" s="291"/>
      <c r="AH98" s="291"/>
      <c r="AI98" s="291"/>
      <c r="AJ98" s="312"/>
      <c r="AK98" s="312"/>
      <c r="AL98" s="312"/>
      <c r="AM98" s="161"/>
    </row>
    <row r="99" spans="24:42" x14ac:dyDescent="0.2">
      <c r="X99" s="312"/>
      <c r="Y99" s="313"/>
      <c r="Z99" s="311"/>
      <c r="AA99" s="311"/>
      <c r="AB99" s="311"/>
      <c r="AC99" s="311"/>
      <c r="AD99" s="311"/>
      <c r="AE99" s="311"/>
      <c r="AF99" s="313"/>
      <c r="AG99" s="291"/>
      <c r="AH99" s="291"/>
      <c r="AI99" s="291"/>
      <c r="AJ99" s="312"/>
      <c r="AK99" s="312"/>
      <c r="AL99" s="312"/>
      <c r="AM99" s="161"/>
    </row>
    <row r="100" spans="24:42" x14ac:dyDescent="0.2">
      <c r="X100" s="312"/>
      <c r="Y100" s="313"/>
      <c r="Z100" s="311"/>
      <c r="AA100" s="311"/>
      <c r="AB100" s="311"/>
      <c r="AC100" s="311"/>
      <c r="AD100" s="311"/>
      <c r="AE100" s="311"/>
      <c r="AF100" s="313"/>
      <c r="AG100" s="291"/>
      <c r="AH100" s="291"/>
      <c r="AI100" s="291"/>
      <c r="AJ100" s="312"/>
      <c r="AK100" s="312"/>
      <c r="AL100" s="312"/>
      <c r="AM100" s="161"/>
    </row>
    <row r="101" spans="24:42" x14ac:dyDescent="0.2">
      <c r="X101" s="312"/>
      <c r="Y101" s="313"/>
      <c r="Z101" s="311"/>
      <c r="AA101" s="311"/>
      <c r="AB101" s="311"/>
      <c r="AC101" s="311"/>
      <c r="AD101" s="311"/>
      <c r="AE101" s="311"/>
      <c r="AF101" s="313"/>
      <c r="AG101" s="291"/>
      <c r="AH101" s="291"/>
      <c r="AI101" s="291"/>
      <c r="AJ101" s="312"/>
      <c r="AK101" s="312"/>
      <c r="AL101" s="312"/>
      <c r="AM101" s="161"/>
    </row>
    <row r="102" spans="24:42" x14ac:dyDescent="0.2">
      <c r="X102" s="312"/>
      <c r="Y102" s="313"/>
      <c r="Z102" s="160"/>
      <c r="AA102" s="160"/>
      <c r="AB102" s="160"/>
      <c r="AC102" s="160"/>
      <c r="AF102" s="313"/>
      <c r="AG102" s="291"/>
      <c r="AH102" s="291"/>
      <c r="AI102" s="291"/>
      <c r="AJ102" s="312"/>
      <c r="AK102" s="312"/>
      <c r="AL102" s="312"/>
      <c r="AM102" s="161"/>
    </row>
    <row r="109" spans="24:42" x14ac:dyDescent="0.2">
      <c r="X109" s="310"/>
      <c r="Y109" s="310"/>
      <c r="Z109" s="311"/>
      <c r="AA109" s="311"/>
      <c r="AB109" s="311"/>
      <c r="AC109" s="311"/>
      <c r="AD109" s="311"/>
      <c r="AE109" s="311"/>
      <c r="AF109" s="310"/>
      <c r="AG109" s="311"/>
      <c r="AH109" s="311"/>
      <c r="AI109" s="311"/>
      <c r="AJ109" s="310"/>
      <c r="AK109" s="310"/>
      <c r="AL109" s="310"/>
      <c r="AM109" s="311"/>
      <c r="AN109" s="310"/>
      <c r="AO109" s="161"/>
      <c r="AP109" s="161"/>
    </row>
    <row r="110" spans="24:42" x14ac:dyDescent="0.2">
      <c r="X110" s="161"/>
      <c r="Y110" s="311"/>
      <c r="Z110" s="311"/>
      <c r="AA110" s="311"/>
      <c r="AB110" s="311"/>
      <c r="AC110" s="311"/>
      <c r="AD110" s="311"/>
      <c r="AE110" s="311"/>
      <c r="AF110" s="311"/>
      <c r="AG110" s="311"/>
      <c r="AH110" s="311"/>
      <c r="AI110" s="311"/>
      <c r="AJ110" s="311"/>
      <c r="AK110" s="311"/>
      <c r="AL110" s="311"/>
      <c r="AM110" s="311"/>
      <c r="AN110" s="161"/>
      <c r="AO110" s="161"/>
      <c r="AP110" s="161"/>
    </row>
    <row r="111" spans="24:42" x14ac:dyDescent="0.2">
      <c r="X111" s="312"/>
      <c r="Y111" s="313"/>
      <c r="Z111" s="311"/>
      <c r="AA111" s="311"/>
      <c r="AB111" s="311"/>
      <c r="AC111" s="311"/>
      <c r="AD111" s="311"/>
      <c r="AE111" s="311"/>
      <c r="AF111" s="313"/>
      <c r="AG111" s="291"/>
      <c r="AH111" s="291"/>
      <c r="AI111" s="291"/>
      <c r="AJ111" s="312"/>
      <c r="AK111" s="312"/>
      <c r="AL111" s="312"/>
      <c r="AM111" s="161"/>
    </row>
    <row r="112" spans="24:42" x14ac:dyDescent="0.2">
      <c r="X112" s="312"/>
      <c r="Y112" s="313"/>
      <c r="Z112" s="311"/>
      <c r="AA112" s="311"/>
      <c r="AB112" s="311"/>
      <c r="AC112" s="311"/>
      <c r="AD112" s="311"/>
      <c r="AE112" s="311"/>
      <c r="AF112" s="313"/>
      <c r="AG112" s="291"/>
      <c r="AH112" s="291"/>
      <c r="AI112" s="291"/>
      <c r="AJ112" s="312"/>
      <c r="AK112" s="312"/>
      <c r="AL112" s="312"/>
      <c r="AM112" s="161"/>
    </row>
    <row r="113" spans="24:42" x14ac:dyDescent="0.2">
      <c r="X113" s="312"/>
      <c r="Y113" s="313"/>
      <c r="Z113" s="311"/>
      <c r="AA113" s="311"/>
      <c r="AB113" s="311"/>
      <c r="AC113" s="311"/>
      <c r="AD113" s="311"/>
      <c r="AE113" s="311"/>
      <c r="AF113" s="313"/>
      <c r="AG113" s="291"/>
      <c r="AH113" s="291"/>
      <c r="AI113" s="291"/>
      <c r="AJ113" s="312"/>
      <c r="AK113" s="312"/>
      <c r="AL113" s="312"/>
      <c r="AM113" s="161"/>
    </row>
    <row r="114" spans="24:42" x14ac:dyDescent="0.2">
      <c r="X114" s="312"/>
      <c r="Y114" s="313"/>
      <c r="Z114" s="311"/>
      <c r="AA114" s="311"/>
      <c r="AB114" s="311"/>
      <c r="AC114" s="311"/>
      <c r="AD114" s="311"/>
      <c r="AE114" s="311"/>
      <c r="AF114" s="313"/>
      <c r="AG114" s="291"/>
      <c r="AH114" s="291"/>
      <c r="AI114" s="291"/>
      <c r="AJ114" s="312"/>
      <c r="AK114" s="312"/>
      <c r="AL114" s="312"/>
      <c r="AM114" s="161"/>
    </row>
    <row r="115" spans="24:42" x14ac:dyDescent="0.2">
      <c r="X115" s="312"/>
      <c r="Y115" s="313"/>
      <c r="Z115" s="311"/>
      <c r="AA115" s="311"/>
      <c r="AB115" s="311"/>
      <c r="AC115" s="311"/>
      <c r="AD115" s="311"/>
      <c r="AE115" s="311"/>
      <c r="AF115" s="313"/>
      <c r="AG115" s="291"/>
      <c r="AH115" s="291"/>
      <c r="AI115" s="291"/>
      <c r="AJ115" s="312"/>
      <c r="AK115" s="312"/>
      <c r="AL115" s="312"/>
      <c r="AM115" s="161"/>
    </row>
    <row r="116" spans="24:42" x14ac:dyDescent="0.2">
      <c r="X116" s="312"/>
      <c r="Y116" s="313"/>
      <c r="Z116" s="160"/>
      <c r="AA116" s="160"/>
      <c r="AB116" s="160"/>
      <c r="AC116" s="160"/>
      <c r="AF116" s="593"/>
      <c r="AG116" s="542"/>
      <c r="AH116" s="542"/>
      <c r="AI116" s="542"/>
      <c r="AJ116" s="312"/>
      <c r="AK116" s="312"/>
      <c r="AL116" s="594"/>
      <c r="AM116" s="586"/>
    </row>
    <row r="121" spans="24:42" x14ac:dyDescent="0.2">
      <c r="X121" s="310"/>
      <c r="Y121" s="310"/>
      <c r="Z121" s="310"/>
      <c r="AA121" s="310"/>
      <c r="AB121" s="310"/>
      <c r="AC121" s="310"/>
      <c r="AD121" s="310"/>
      <c r="AE121" s="310"/>
      <c r="AF121" s="310"/>
      <c r="AG121" s="310"/>
      <c r="AH121" s="310"/>
      <c r="AI121" s="310"/>
      <c r="AJ121" s="310"/>
      <c r="AK121" s="310"/>
      <c r="AL121" s="310"/>
      <c r="AM121" s="310"/>
      <c r="AN121" s="310"/>
      <c r="AO121" s="310"/>
      <c r="AP121" s="310"/>
    </row>
    <row r="122" spans="24:42" x14ac:dyDescent="0.2">
      <c r="X122" s="310"/>
      <c r="Y122" s="310"/>
      <c r="Z122" s="310"/>
      <c r="AA122" s="310"/>
      <c r="AB122" s="310"/>
      <c r="AC122" s="310"/>
      <c r="AD122" s="310"/>
      <c r="AE122" s="310"/>
      <c r="AF122" s="310"/>
      <c r="AG122" s="310"/>
      <c r="AH122" s="310"/>
      <c r="AI122" s="310"/>
      <c r="AJ122" s="310"/>
      <c r="AK122" s="310"/>
      <c r="AL122" s="310"/>
      <c r="AM122" s="310"/>
      <c r="AN122" s="310"/>
      <c r="AO122" s="310"/>
      <c r="AP122" s="310"/>
    </row>
    <row r="123" spans="24:42" x14ac:dyDescent="0.2">
      <c r="X123" s="312"/>
      <c r="Y123" s="313"/>
      <c r="Z123" s="313"/>
      <c r="AA123" s="313"/>
      <c r="AB123" s="313"/>
      <c r="AC123" s="313"/>
      <c r="AD123" s="313"/>
      <c r="AE123" s="313"/>
      <c r="AF123" s="313"/>
      <c r="AG123" s="313"/>
      <c r="AH123" s="313"/>
      <c r="AI123" s="313"/>
      <c r="AJ123" s="312"/>
      <c r="AK123" s="312"/>
      <c r="AL123" s="312"/>
      <c r="AM123" s="312"/>
    </row>
    <row r="124" spans="24:42" x14ac:dyDescent="0.2">
      <c r="X124" s="312"/>
      <c r="Y124" s="313"/>
      <c r="Z124" s="313"/>
      <c r="AA124" s="313"/>
      <c r="AB124" s="313"/>
      <c r="AC124" s="313"/>
      <c r="AD124" s="313"/>
      <c r="AE124" s="313"/>
      <c r="AF124" s="313"/>
      <c r="AG124" s="313"/>
      <c r="AH124" s="313"/>
      <c r="AI124" s="313"/>
      <c r="AJ124" s="312"/>
      <c r="AK124" s="312"/>
      <c r="AL124" s="312"/>
      <c r="AM124" s="312"/>
    </row>
    <row r="125" spans="24:42" x14ac:dyDescent="0.2">
      <c r="X125" s="312"/>
      <c r="Y125" s="313"/>
      <c r="Z125" s="313"/>
      <c r="AA125" s="313"/>
      <c r="AB125" s="313"/>
      <c r="AC125" s="313"/>
      <c r="AD125" s="313"/>
      <c r="AE125" s="313"/>
      <c r="AF125" s="313"/>
      <c r="AG125" s="313"/>
      <c r="AH125" s="313"/>
      <c r="AI125" s="313"/>
      <c r="AJ125" s="312"/>
      <c r="AK125" s="312"/>
      <c r="AL125" s="312"/>
      <c r="AM125" s="312"/>
    </row>
    <row r="126" spans="24:42" x14ac:dyDescent="0.2">
      <c r="X126" s="312"/>
      <c r="Y126" s="313"/>
      <c r="Z126" s="313"/>
      <c r="AA126" s="313"/>
      <c r="AB126" s="313"/>
      <c r="AC126" s="313"/>
      <c r="AD126" s="313"/>
      <c r="AE126" s="313"/>
      <c r="AF126" s="313"/>
      <c r="AG126" s="313"/>
      <c r="AH126" s="313"/>
      <c r="AI126" s="313"/>
      <c r="AJ126" s="312"/>
      <c r="AK126" s="312"/>
      <c r="AL126" s="312"/>
      <c r="AM126" s="312"/>
    </row>
    <row r="127" spans="24:42" x14ac:dyDescent="0.2">
      <c r="X127" s="312"/>
      <c r="Y127" s="313"/>
      <c r="Z127" s="313"/>
      <c r="AA127" s="313"/>
      <c r="AB127" s="313"/>
      <c r="AC127" s="313"/>
      <c r="AD127" s="313"/>
      <c r="AE127" s="313"/>
      <c r="AF127" s="313"/>
      <c r="AG127" s="313"/>
      <c r="AH127" s="313"/>
      <c r="AI127" s="313"/>
      <c r="AJ127" s="312"/>
      <c r="AK127" s="312"/>
      <c r="AL127" s="312"/>
      <c r="AM127" s="312"/>
    </row>
    <row r="128" spans="24:42" x14ac:dyDescent="0.2">
      <c r="X128" s="312"/>
      <c r="Y128" s="313"/>
      <c r="Z128" s="160"/>
      <c r="AA128" s="160"/>
      <c r="AB128" s="160"/>
      <c r="AC128" s="160"/>
      <c r="AF128" s="313"/>
      <c r="AG128" s="313"/>
      <c r="AH128" s="313"/>
      <c r="AI128" s="313"/>
      <c r="AJ128" s="312"/>
      <c r="AK128" s="312"/>
      <c r="AL128" s="312"/>
      <c r="AM128" s="312"/>
    </row>
  </sheetData>
  <mergeCells count="137">
    <mergeCell ref="X57:AE57"/>
    <mergeCell ref="E33:J33"/>
    <mergeCell ref="E30:J30"/>
    <mergeCell ref="K30:N30"/>
    <mergeCell ref="N6:O6"/>
    <mergeCell ref="AJ6:AK6"/>
    <mergeCell ref="S39:U40"/>
    <mergeCell ref="S29:S38"/>
    <mergeCell ref="Q24:R24"/>
    <mergeCell ref="Q29:R29"/>
    <mergeCell ref="Q39:R39"/>
    <mergeCell ref="K33:N33"/>
    <mergeCell ref="Y7:Z7"/>
    <mergeCell ref="AB7:AG7"/>
    <mergeCell ref="K39:N39"/>
    <mergeCell ref="E26:J26"/>
    <mergeCell ref="K26:N26"/>
    <mergeCell ref="K24:N24"/>
    <mergeCell ref="K25:N25"/>
    <mergeCell ref="Q26:R26"/>
    <mergeCell ref="Q55:R55"/>
    <mergeCell ref="K48:N48"/>
    <mergeCell ref="K51:N51"/>
    <mergeCell ref="E35:J35"/>
    <mergeCell ref="K35:N35"/>
    <mergeCell ref="Q42:R42"/>
    <mergeCell ref="Q45:R45"/>
    <mergeCell ref="K42:N42"/>
    <mergeCell ref="K45:N45"/>
    <mergeCell ref="E37:J37"/>
    <mergeCell ref="K37:N37"/>
    <mergeCell ref="Q37:R37"/>
    <mergeCell ref="C7:D7"/>
    <mergeCell ref="F7:K7"/>
    <mergeCell ref="J11:P11"/>
    <mergeCell ref="C10:I12"/>
    <mergeCell ref="C14:I16"/>
    <mergeCell ref="E29:J29"/>
    <mergeCell ref="K29:N29"/>
    <mergeCell ref="E39:J39"/>
    <mergeCell ref="E42:J42"/>
    <mergeCell ref="E45:J45"/>
    <mergeCell ref="K34:N34"/>
    <mergeCell ref="V48:V55"/>
    <mergeCell ref="X45:AN45"/>
    <mergeCell ref="V19:V40"/>
    <mergeCell ref="Z28:AD30"/>
    <mergeCell ref="X18:AN18"/>
    <mergeCell ref="Q48:R48"/>
    <mergeCell ref="Q51:R51"/>
    <mergeCell ref="Q35:R35"/>
    <mergeCell ref="Q33:R33"/>
    <mergeCell ref="Q34:R34"/>
    <mergeCell ref="Q30:R30"/>
    <mergeCell ref="E51:J51"/>
    <mergeCell ref="K55:N55"/>
    <mergeCell ref="AM61:AP62"/>
    <mergeCell ref="X63:AD63"/>
    <mergeCell ref="C17:D17"/>
    <mergeCell ref="E17:J18"/>
    <mergeCell ref="K17:N18"/>
    <mergeCell ref="Q17:R18"/>
    <mergeCell ref="S17:U18"/>
    <mergeCell ref="E25:J25"/>
    <mergeCell ref="Q25:R25"/>
    <mergeCell ref="E19:J19"/>
    <mergeCell ref="K19:N19"/>
    <mergeCell ref="Q19:R19"/>
    <mergeCell ref="E20:J20"/>
    <mergeCell ref="K20:N20"/>
    <mergeCell ref="Q20:R20"/>
    <mergeCell ref="E21:J21"/>
    <mergeCell ref="K21:N21"/>
    <mergeCell ref="Q21:R21"/>
    <mergeCell ref="E24:J24"/>
    <mergeCell ref="O17:O18"/>
    <mergeCell ref="P17:P18"/>
    <mergeCell ref="E34:J34"/>
    <mergeCell ref="E48:J48"/>
    <mergeCell ref="AF116:AI116"/>
    <mergeCell ref="AL116:AM116"/>
    <mergeCell ref="E59:J59"/>
    <mergeCell ref="K59:N59"/>
    <mergeCell ref="Q59:R59"/>
    <mergeCell ref="E60:J60"/>
    <mergeCell ref="C77:R77"/>
    <mergeCell ref="C78:R78"/>
    <mergeCell ref="C80:D80"/>
    <mergeCell ref="E80:F80"/>
    <mergeCell ref="Y80:Z80"/>
    <mergeCell ref="AA80:AB80"/>
    <mergeCell ref="C71:R71"/>
    <mergeCell ref="C72:R72"/>
    <mergeCell ref="C73:R73"/>
    <mergeCell ref="C74:R74"/>
    <mergeCell ref="C75:R75"/>
    <mergeCell ref="C76:R76"/>
    <mergeCell ref="Q60:R60"/>
    <mergeCell ref="K60:N60"/>
    <mergeCell ref="E61:J61"/>
    <mergeCell ref="A70:R70"/>
    <mergeCell ref="W61:W62"/>
    <mergeCell ref="X61:AD62"/>
    <mergeCell ref="AE61:AH62"/>
    <mergeCell ref="AI61:AI62"/>
    <mergeCell ref="AJ61:AJ62"/>
    <mergeCell ref="AK61:AL62"/>
    <mergeCell ref="X64:AD64"/>
    <mergeCell ref="AE64:AH64"/>
    <mergeCell ref="E53:J53"/>
    <mergeCell ref="K53:N53"/>
    <mergeCell ref="Q53:R53"/>
    <mergeCell ref="K61:N61"/>
    <mergeCell ref="Q61:R61"/>
    <mergeCell ref="AK64:AL64"/>
    <mergeCell ref="AE63:AH63"/>
    <mergeCell ref="AK63:AL63"/>
    <mergeCell ref="A64:R69"/>
    <mergeCell ref="E56:J56"/>
    <mergeCell ref="K56:N56"/>
    <mergeCell ref="Q56:R56"/>
    <mergeCell ref="E58:J58"/>
    <mergeCell ref="K58:N58"/>
    <mergeCell ref="Q58:R58"/>
    <mergeCell ref="E55:J55"/>
    <mergeCell ref="X67:AD67"/>
    <mergeCell ref="AE67:AH67"/>
    <mergeCell ref="AK67:AL67"/>
    <mergeCell ref="AE68:AH68"/>
    <mergeCell ref="AK68:AL68"/>
    <mergeCell ref="X65:AD65"/>
    <mergeCell ref="AE65:AH65"/>
    <mergeCell ref="AK65:AL65"/>
    <mergeCell ref="X66:AD66"/>
    <mergeCell ref="AE66:AH66"/>
    <mergeCell ref="AK66:AL66"/>
    <mergeCell ref="X68:AD68"/>
  </mergeCells>
  <pageMargins left="0.70866141732283472" right="0.15748031496062992" top="0.51181102362204722" bottom="0.43307086614173229" header="0.27559055118110237" footer="0.27559055118110237"/>
  <pageSetup paperSize="9" scale="75" pageOrder="overThenDown" orientation="portrait" r:id="rId1"/>
  <headerFooter alignWithMargins="0">
    <oddHeader>&amp;LPIRS Vorlagen-Projekt&amp;C&amp;8Project: Template&amp;R&amp;G</oddHeader>
    <oddFooter xml:space="preserve">&amp;L&amp;8 &amp;F _&amp;A&amp;R&amp;8Page &amp;P+8 of [&amp;N+8] </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AQ80"/>
  <sheetViews>
    <sheetView showWhiteSpace="0" view="pageLayout" topLeftCell="A41" zoomScaleNormal="100" workbookViewId="0">
      <selection activeCell="K58" sqref="K58:N58"/>
    </sheetView>
  </sheetViews>
  <sheetFormatPr defaultColWidth="0" defaultRowHeight="12.75" x14ac:dyDescent="0.2"/>
  <cols>
    <col min="1" max="1" width="14.28515625" style="13" customWidth="1"/>
    <col min="2" max="2" width="3.5703125" style="13" customWidth="1"/>
    <col min="3" max="21" width="5.7109375" style="13" customWidth="1"/>
    <col min="22" max="22" width="4.140625" style="13" customWidth="1"/>
    <col min="23" max="23" width="6.140625" style="13" customWidth="1"/>
    <col min="24" max="42" width="5.7109375" style="13" customWidth="1"/>
    <col min="43" max="59" width="6.140625" style="13" customWidth="1"/>
    <col min="60" max="16384" width="0" style="13" hidden="1"/>
  </cols>
  <sheetData>
    <row r="1" spans="1:43" ht="13.15" customHeight="1" x14ac:dyDescent="0.2">
      <c r="A1" s="73"/>
      <c r="B1" s="72"/>
      <c r="C1" s="72"/>
      <c r="D1" s="71"/>
      <c r="E1" s="16"/>
      <c r="F1" s="16"/>
      <c r="G1" s="16"/>
      <c r="H1" s="16"/>
      <c r="I1" s="16"/>
      <c r="J1" s="114" t="s">
        <v>253</v>
      </c>
      <c r="K1" s="230"/>
      <c r="L1" s="116"/>
      <c r="M1" s="70"/>
      <c r="N1" s="16" t="s">
        <v>735</v>
      </c>
      <c r="O1" s="16" t="s">
        <v>734</v>
      </c>
      <c r="P1" s="16" t="s">
        <v>733</v>
      </c>
      <c r="Q1" s="69"/>
      <c r="R1" s="68" t="s">
        <v>230</v>
      </c>
      <c r="S1" s="68"/>
      <c r="T1" s="67" t="s">
        <v>343</v>
      </c>
      <c r="U1" s="66"/>
      <c r="V1" s="162"/>
      <c r="W1" s="16"/>
      <c r="X1" s="72"/>
      <c r="Y1" s="72"/>
      <c r="Z1" s="71"/>
      <c r="AA1" s="16"/>
      <c r="AB1" s="16"/>
      <c r="AC1" s="16"/>
      <c r="AD1" s="16"/>
      <c r="AE1" s="16"/>
      <c r="AF1" s="114" t="s">
        <v>253</v>
      </c>
      <c r="AG1" s="230"/>
      <c r="AH1" s="116"/>
      <c r="AI1" s="70"/>
      <c r="AJ1" s="16" t="str">
        <f>N1</f>
        <v>PT14</v>
      </c>
      <c r="AK1" s="16" t="str">
        <f>O1</f>
        <v>PT04</v>
      </c>
      <c r="AL1" s="16" t="str">
        <f>P1</f>
        <v>PT02</v>
      </c>
      <c r="AM1" s="69"/>
      <c r="AN1" s="68" t="s">
        <v>230</v>
      </c>
      <c r="AO1" s="68"/>
      <c r="AP1" s="67" t="str">
        <f>T1</f>
        <v>3E0 (1.0345)</v>
      </c>
      <c r="AQ1" s="66"/>
    </row>
    <row r="2" spans="1:43" ht="13.15" customHeight="1" x14ac:dyDescent="0.2">
      <c r="A2" s="63" t="s">
        <v>276</v>
      </c>
      <c r="B2" s="61"/>
      <c r="C2" s="62" t="s">
        <v>265</v>
      </c>
      <c r="D2" s="61"/>
      <c r="E2" s="60"/>
      <c r="F2" s="60"/>
      <c r="G2" s="60"/>
      <c r="H2" s="60"/>
      <c r="I2" s="60"/>
      <c r="J2" s="100" t="s">
        <v>232</v>
      </c>
      <c r="K2" s="81"/>
      <c r="L2" s="74"/>
      <c r="M2" s="81"/>
      <c r="N2" s="65"/>
      <c r="O2" s="65"/>
      <c r="P2" s="65"/>
      <c r="Q2" s="58" t="s">
        <v>231</v>
      </c>
      <c r="R2" s="65" t="s">
        <v>252</v>
      </c>
      <c r="S2" s="65"/>
      <c r="T2" s="81" t="s">
        <v>301</v>
      </c>
      <c r="U2" s="64"/>
      <c r="V2" s="19" t="s">
        <v>276</v>
      </c>
      <c r="W2" s="60"/>
      <c r="X2" s="61"/>
      <c r="Y2" s="62" t="str">
        <f>C2</f>
        <v>Condensate &amp; Steam (T &lt; 400°C)</v>
      </c>
      <c r="Z2" s="61"/>
      <c r="AA2" s="60"/>
      <c r="AB2" s="60"/>
      <c r="AC2" s="60"/>
      <c r="AD2" s="60"/>
      <c r="AE2" s="60"/>
      <c r="AF2" s="100" t="s">
        <v>232</v>
      </c>
      <c r="AG2" s="81"/>
      <c r="AH2" s="74"/>
      <c r="AI2" s="81"/>
      <c r="AJ2" s="65"/>
      <c r="AK2" s="65"/>
      <c r="AL2" s="65">
        <f>P2</f>
        <v>0</v>
      </c>
      <c r="AM2" s="58" t="s">
        <v>231</v>
      </c>
      <c r="AN2" s="65" t="s">
        <v>252</v>
      </c>
      <c r="AO2" s="65"/>
      <c r="AP2" s="81" t="str">
        <f>T2</f>
        <v>EN PN16</v>
      </c>
      <c r="AQ2" s="64"/>
    </row>
    <row r="3" spans="1:43" ht="13.15" customHeight="1" x14ac:dyDescent="0.2">
      <c r="A3" s="63"/>
      <c r="B3" s="61"/>
      <c r="C3" s="62"/>
      <c r="D3" s="61"/>
      <c r="E3" s="60"/>
      <c r="F3" s="60"/>
      <c r="G3" s="60"/>
      <c r="H3" s="60"/>
      <c r="I3" s="60"/>
      <c r="J3" s="100" t="s">
        <v>233</v>
      </c>
      <c r="K3" s="81"/>
      <c r="L3" s="75"/>
      <c r="M3" s="101"/>
      <c r="N3" s="65"/>
      <c r="O3" s="65"/>
      <c r="P3" s="65"/>
      <c r="Q3" s="58" t="s">
        <v>223</v>
      </c>
      <c r="R3" s="76" t="s">
        <v>229</v>
      </c>
      <c r="S3" s="77"/>
      <c r="T3" s="81" t="s">
        <v>227</v>
      </c>
      <c r="U3" s="57"/>
      <c r="V3" s="51"/>
      <c r="W3" s="80"/>
      <c r="X3" s="61"/>
      <c r="Y3" s="62"/>
      <c r="Z3" s="61"/>
      <c r="AA3" s="60"/>
      <c r="AB3" s="60"/>
      <c r="AC3" s="60"/>
      <c r="AD3" s="60"/>
      <c r="AE3" s="60"/>
      <c r="AF3" s="100" t="s">
        <v>233</v>
      </c>
      <c r="AG3" s="81"/>
      <c r="AH3" s="75"/>
      <c r="AI3" s="101"/>
      <c r="AJ3" s="65"/>
      <c r="AK3" s="65"/>
      <c r="AL3" s="65">
        <f>P3</f>
        <v>0</v>
      </c>
      <c r="AM3" s="58" t="s">
        <v>223</v>
      </c>
      <c r="AN3" s="76" t="s">
        <v>229</v>
      </c>
      <c r="AO3" s="77"/>
      <c r="AP3" s="81" t="str">
        <f>T3</f>
        <v>seamless</v>
      </c>
      <c r="AQ3" s="57"/>
    </row>
    <row r="4" spans="1:43" ht="13.15" customHeight="1" thickBot="1" x14ac:dyDescent="0.25">
      <c r="A4" s="56"/>
      <c r="B4" s="55"/>
      <c r="C4" s="55"/>
      <c r="D4" s="54"/>
      <c r="E4" s="53"/>
      <c r="F4" s="53"/>
      <c r="G4" s="53"/>
      <c r="H4" s="14"/>
      <c r="I4" s="14"/>
      <c r="J4" s="526" t="s">
        <v>226</v>
      </c>
      <c r="K4" s="60"/>
      <c r="L4" s="81"/>
      <c r="M4" s="102"/>
      <c r="N4" s="60"/>
      <c r="O4" s="60"/>
      <c r="P4" s="60"/>
      <c r="Q4" s="211" t="s">
        <v>235</v>
      </c>
      <c r="R4" s="82" t="s">
        <v>234</v>
      </c>
      <c r="S4" s="83"/>
      <c r="T4" s="113" t="s">
        <v>466</v>
      </c>
      <c r="U4" s="79"/>
      <c r="V4" s="119"/>
      <c r="W4" s="166"/>
      <c r="X4" s="55"/>
      <c r="Y4" s="55"/>
      <c r="Z4" s="54"/>
      <c r="AA4" s="53"/>
      <c r="AB4" s="53"/>
      <c r="AC4" s="53"/>
      <c r="AD4" s="14"/>
      <c r="AE4" s="14"/>
      <c r="AF4" s="526" t="s">
        <v>226</v>
      </c>
      <c r="AG4" s="60"/>
      <c r="AH4" s="81"/>
      <c r="AI4" s="102"/>
      <c r="AJ4" s="60"/>
      <c r="AK4" s="60"/>
      <c r="AL4" s="336">
        <f>P4</f>
        <v>0</v>
      </c>
      <c r="AM4" s="58" t="s">
        <v>235</v>
      </c>
      <c r="AN4" s="82" t="s">
        <v>234</v>
      </c>
      <c r="AO4" s="83"/>
      <c r="AP4" s="113" t="str">
        <f>T4</f>
        <v>ECDB</v>
      </c>
      <c r="AQ4" s="79"/>
    </row>
    <row r="5" spans="1:43" ht="13.15" customHeight="1" x14ac:dyDescent="0.2">
      <c r="A5" s="51" t="s">
        <v>225</v>
      </c>
      <c r="B5" s="80"/>
      <c r="C5" s="50" t="s">
        <v>224</v>
      </c>
      <c r="D5" s="49" t="s">
        <v>223</v>
      </c>
      <c r="E5" s="48"/>
      <c r="F5" s="47" t="s">
        <v>303</v>
      </c>
      <c r="G5" s="47">
        <v>100</v>
      </c>
      <c r="H5" s="47">
        <v>150</v>
      </c>
      <c r="I5" s="47">
        <v>200</v>
      </c>
      <c r="J5" s="47">
        <v>250</v>
      </c>
      <c r="K5" s="157">
        <v>300</v>
      </c>
      <c r="L5" s="195">
        <v>350</v>
      </c>
      <c r="M5" s="205">
        <v>400</v>
      </c>
      <c r="N5" s="177"/>
      <c r="O5" s="176"/>
      <c r="P5" s="107"/>
      <c r="Q5" s="215"/>
      <c r="R5" s="104"/>
      <c r="S5" s="107"/>
      <c r="T5" s="107"/>
      <c r="U5" s="105"/>
      <c r="V5" s="19" t="s">
        <v>225</v>
      </c>
      <c r="W5" s="80"/>
      <c r="X5" s="80"/>
      <c r="Y5" s="50" t="s">
        <v>224</v>
      </c>
      <c r="Z5" s="49" t="s">
        <v>223</v>
      </c>
      <c r="AA5" s="48"/>
      <c r="AB5" s="47" t="s">
        <v>303</v>
      </c>
      <c r="AC5" s="47">
        <v>100</v>
      </c>
      <c r="AD5" s="47">
        <v>150</v>
      </c>
      <c r="AE5" s="47">
        <v>200</v>
      </c>
      <c r="AF5" s="47">
        <v>250</v>
      </c>
      <c r="AG5" s="157">
        <v>300</v>
      </c>
      <c r="AH5" s="195">
        <v>350</v>
      </c>
      <c r="AI5" s="205">
        <v>400</v>
      </c>
      <c r="AJ5" s="177"/>
      <c r="AK5" s="176"/>
      <c r="AL5" s="107"/>
      <c r="AM5" s="215"/>
      <c r="AN5" s="104"/>
      <c r="AO5" s="107"/>
      <c r="AP5" s="107"/>
      <c r="AQ5" s="105"/>
    </row>
    <row r="6" spans="1:43" ht="20.25" customHeight="1" x14ac:dyDescent="0.2">
      <c r="A6" s="51"/>
      <c r="B6" s="80"/>
      <c r="C6" s="185" t="s">
        <v>285</v>
      </c>
      <c r="D6" s="186" t="s">
        <v>235</v>
      </c>
      <c r="E6" s="187" t="s">
        <v>502</v>
      </c>
      <c r="F6" s="188">
        <v>16</v>
      </c>
      <c r="G6" s="387" t="s">
        <v>564</v>
      </c>
      <c r="H6" s="387" t="s">
        <v>565</v>
      </c>
      <c r="I6" s="387" t="s">
        <v>566</v>
      </c>
      <c r="J6" s="387" t="s">
        <v>567</v>
      </c>
      <c r="K6" s="388" t="s">
        <v>568</v>
      </c>
      <c r="L6" s="390" t="s">
        <v>569</v>
      </c>
      <c r="M6" s="391" t="s">
        <v>570</v>
      </c>
      <c r="N6" s="686" t="s">
        <v>571</v>
      </c>
      <c r="O6" s="687"/>
      <c r="P6" s="216"/>
      <c r="Q6" s="216"/>
      <c r="R6" s="189"/>
      <c r="S6" s="190"/>
      <c r="T6" s="190"/>
      <c r="U6" s="191"/>
      <c r="V6" s="21"/>
      <c r="X6" s="80"/>
      <c r="Y6" s="185" t="s">
        <v>285</v>
      </c>
      <c r="Z6" s="186" t="s">
        <v>235</v>
      </c>
      <c r="AA6" s="187" t="s">
        <v>502</v>
      </c>
      <c r="AB6" s="188">
        <v>16</v>
      </c>
      <c r="AC6" s="387" t="s">
        <v>564</v>
      </c>
      <c r="AD6" s="387" t="s">
        <v>565</v>
      </c>
      <c r="AE6" s="387" t="s">
        <v>566</v>
      </c>
      <c r="AF6" s="387" t="s">
        <v>567</v>
      </c>
      <c r="AG6" s="388" t="s">
        <v>568</v>
      </c>
      <c r="AH6" s="390" t="s">
        <v>569</v>
      </c>
      <c r="AI6" s="391" t="s">
        <v>570</v>
      </c>
      <c r="AJ6" s="686" t="s">
        <v>571</v>
      </c>
      <c r="AK6" s="687"/>
      <c r="AL6" s="216"/>
      <c r="AM6" s="216"/>
      <c r="AN6" s="189"/>
      <c r="AO6" s="190"/>
      <c r="AP6" s="190"/>
      <c r="AQ6" s="191"/>
    </row>
    <row r="7" spans="1:43" ht="12.75" customHeight="1" thickBot="1" x14ac:dyDescent="0.25">
      <c r="A7" s="46"/>
      <c r="B7" s="193"/>
      <c r="C7" s="671" t="s">
        <v>284</v>
      </c>
      <c r="D7" s="672"/>
      <c r="E7" s="45"/>
      <c r="F7" s="673" t="s">
        <v>286</v>
      </c>
      <c r="G7" s="674"/>
      <c r="H7" s="674"/>
      <c r="I7" s="674"/>
      <c r="J7" s="674"/>
      <c r="K7" s="674"/>
      <c r="L7" s="236" t="s">
        <v>287</v>
      </c>
      <c r="M7" s="234"/>
      <c r="N7" s="202"/>
      <c r="O7" s="213"/>
      <c r="P7" s="213"/>
      <c r="Q7" s="213"/>
      <c r="R7" s="201"/>
      <c r="S7" s="202"/>
      <c r="T7" s="202"/>
      <c r="U7" s="106"/>
      <c r="V7" s="121"/>
      <c r="W7" s="143"/>
      <c r="X7" s="193"/>
      <c r="Y7" s="671" t="s">
        <v>284</v>
      </c>
      <c r="Z7" s="672"/>
      <c r="AA7" s="45"/>
      <c r="AB7" s="673" t="s">
        <v>286</v>
      </c>
      <c r="AC7" s="674"/>
      <c r="AD7" s="674"/>
      <c r="AE7" s="674"/>
      <c r="AF7" s="674"/>
      <c r="AG7" s="674"/>
      <c r="AH7" s="236" t="s">
        <v>287</v>
      </c>
      <c r="AI7" s="234"/>
      <c r="AJ7" s="202"/>
      <c r="AK7" s="213"/>
      <c r="AL7" s="213"/>
      <c r="AM7" s="213"/>
      <c r="AN7" s="201"/>
      <c r="AO7" s="202"/>
      <c r="AP7" s="202"/>
      <c r="AQ7" s="106"/>
    </row>
    <row r="8" spans="1:43" ht="13.15" customHeight="1" x14ac:dyDescent="0.2">
      <c r="A8" s="413" t="s">
        <v>633</v>
      </c>
      <c r="B8" s="158" t="s">
        <v>220</v>
      </c>
      <c r="C8" s="200">
        <v>15</v>
      </c>
      <c r="D8" s="38" t="s">
        <v>648</v>
      </c>
      <c r="E8" s="38">
        <v>25</v>
      </c>
      <c r="F8" s="38" t="s">
        <v>649</v>
      </c>
      <c r="G8" s="38">
        <v>40</v>
      </c>
      <c r="H8" s="38">
        <v>50</v>
      </c>
      <c r="I8" s="38" t="s">
        <v>299</v>
      </c>
      <c r="J8" s="38">
        <v>80</v>
      </c>
      <c r="K8" s="38">
        <v>100</v>
      </c>
      <c r="L8" s="38" t="s">
        <v>300</v>
      </c>
      <c r="M8" s="38">
        <v>150</v>
      </c>
      <c r="N8" s="38">
        <v>200</v>
      </c>
      <c r="O8" s="38">
        <v>250</v>
      </c>
      <c r="P8" s="38">
        <v>300</v>
      </c>
      <c r="Q8" s="38">
        <v>350</v>
      </c>
      <c r="R8" s="78">
        <v>400</v>
      </c>
      <c r="S8" s="38">
        <v>450</v>
      </c>
      <c r="T8" s="38">
        <v>500</v>
      </c>
      <c r="U8" s="37">
        <v>600</v>
      </c>
      <c r="V8" s="702" t="s">
        <v>240</v>
      </c>
      <c r="W8" s="703"/>
      <c r="X8" s="704"/>
      <c r="Y8" s="705"/>
      <c r="Z8" s="158" t="s">
        <v>220</v>
      </c>
      <c r="AA8" s="200">
        <v>700</v>
      </c>
      <c r="AB8" s="38">
        <v>800</v>
      </c>
      <c r="AC8" s="38">
        <v>914</v>
      </c>
      <c r="AD8" s="103"/>
      <c r="AE8" s="103"/>
      <c r="AF8" s="103"/>
      <c r="AG8" s="103"/>
      <c r="AH8" s="103"/>
      <c r="AI8" s="103"/>
      <c r="AJ8" s="103"/>
      <c r="AK8" s="103"/>
      <c r="AL8" s="103"/>
      <c r="AM8" s="103"/>
      <c r="AN8" s="103"/>
      <c r="AO8" s="103"/>
      <c r="AP8" s="103"/>
      <c r="AQ8" s="145"/>
    </row>
    <row r="9" spans="1:43" ht="13.15" customHeight="1" x14ac:dyDescent="0.2">
      <c r="A9" s="416" t="s">
        <v>634</v>
      </c>
      <c r="B9" s="293" t="s">
        <v>222</v>
      </c>
      <c r="C9" s="35">
        <v>21.3</v>
      </c>
      <c r="D9" s="42">
        <v>26.9</v>
      </c>
      <c r="E9" s="34">
        <v>33.700000000000003</v>
      </c>
      <c r="F9" s="34">
        <v>42.4</v>
      </c>
      <c r="G9" s="34">
        <v>48.3</v>
      </c>
      <c r="H9" s="34">
        <v>60.3</v>
      </c>
      <c r="I9" s="34">
        <v>76.099999999999994</v>
      </c>
      <c r="J9" s="34">
        <v>88.9</v>
      </c>
      <c r="K9" s="34">
        <v>114.3</v>
      </c>
      <c r="L9" s="34">
        <v>139.69999999999999</v>
      </c>
      <c r="M9" s="34">
        <v>168.3</v>
      </c>
      <c r="N9" s="34">
        <v>219.1</v>
      </c>
      <c r="O9" s="34">
        <v>273</v>
      </c>
      <c r="P9" s="34">
        <v>323.89999999999998</v>
      </c>
      <c r="Q9" s="34">
        <v>355.6</v>
      </c>
      <c r="R9" s="34">
        <v>406.4</v>
      </c>
      <c r="S9" s="34">
        <v>457</v>
      </c>
      <c r="T9" s="34">
        <v>508</v>
      </c>
      <c r="U9" s="41">
        <v>610</v>
      </c>
      <c r="V9" s="706" t="s">
        <v>237</v>
      </c>
      <c r="W9" s="600"/>
      <c r="X9" s="547"/>
      <c r="Y9" s="548"/>
      <c r="Z9" s="293" t="s">
        <v>222</v>
      </c>
      <c r="AA9" s="35">
        <v>711</v>
      </c>
      <c r="AB9" s="34">
        <v>813</v>
      </c>
      <c r="AC9" s="34">
        <v>48.3</v>
      </c>
      <c r="AQ9" s="89"/>
    </row>
    <row r="10" spans="1:43" ht="13.15" customHeight="1" x14ac:dyDescent="0.2">
      <c r="A10" s="417" t="s">
        <v>635</v>
      </c>
      <c r="B10" s="294" t="s">
        <v>222</v>
      </c>
      <c r="C10" s="239">
        <v>2.6</v>
      </c>
      <c r="D10" s="239">
        <v>2.6</v>
      </c>
      <c r="E10" s="240">
        <v>2.6</v>
      </c>
      <c r="F10" s="239">
        <v>2.6</v>
      </c>
      <c r="G10" s="239">
        <v>2.6</v>
      </c>
      <c r="H10" s="239">
        <v>2.9</v>
      </c>
      <c r="I10" s="239">
        <v>2.9</v>
      </c>
      <c r="J10" s="239">
        <v>3.2</v>
      </c>
      <c r="K10" s="239">
        <v>3.6</v>
      </c>
      <c r="L10" s="239">
        <v>4</v>
      </c>
      <c r="M10" s="239">
        <v>4.5</v>
      </c>
      <c r="N10" s="239">
        <v>6.3</v>
      </c>
      <c r="O10" s="239">
        <v>6.3</v>
      </c>
      <c r="P10" s="239">
        <v>7.1</v>
      </c>
      <c r="Q10" s="239">
        <v>8</v>
      </c>
      <c r="R10" s="239">
        <v>8.8000000000000007</v>
      </c>
      <c r="S10" s="240">
        <v>10</v>
      </c>
      <c r="T10" s="239">
        <v>11</v>
      </c>
      <c r="U10" s="241">
        <v>12.5</v>
      </c>
      <c r="V10" s="711" t="s">
        <v>293</v>
      </c>
      <c r="W10" s="712"/>
      <c r="X10" s="547"/>
      <c r="Y10" s="548"/>
      <c r="Z10" s="294" t="s">
        <v>222</v>
      </c>
      <c r="AA10" s="238"/>
      <c r="AB10" s="239"/>
      <c r="AC10" s="239"/>
      <c r="AQ10" s="89"/>
    </row>
    <row r="11" spans="1:43" ht="13.15" customHeight="1" x14ac:dyDescent="0.2">
      <c r="A11" s="84" t="s">
        <v>636</v>
      </c>
      <c r="B11" s="295" t="s">
        <v>236</v>
      </c>
      <c r="C11" s="736" t="s">
        <v>302</v>
      </c>
      <c r="D11" s="737"/>
      <c r="E11" s="737"/>
      <c r="F11" s="737"/>
      <c r="G11" s="737"/>
      <c r="H11" s="737"/>
      <c r="I11" s="737"/>
      <c r="J11" s="737"/>
      <c r="K11" s="737"/>
      <c r="L11" s="737"/>
      <c r="M11" s="737"/>
      <c r="N11" s="737"/>
      <c r="O11" s="737"/>
      <c r="P11" s="737"/>
      <c r="Q11" s="737"/>
      <c r="R11" s="737"/>
      <c r="S11" s="737"/>
      <c r="T11" s="737"/>
      <c r="U11" s="738"/>
      <c r="V11" s="84" t="s">
        <v>239</v>
      </c>
      <c r="W11" s="85"/>
      <c r="Z11" s="295" t="s">
        <v>236</v>
      </c>
      <c r="AC11" s="335"/>
      <c r="AQ11" s="89"/>
    </row>
    <row r="12" spans="1:43" ht="13.15" customHeight="1" thickBot="1" x14ac:dyDescent="0.25">
      <c r="A12" s="419" t="s">
        <v>637</v>
      </c>
      <c r="B12" s="296" t="s">
        <v>222</v>
      </c>
      <c r="C12" s="40">
        <f>C9-2*C10</f>
        <v>16.100000000000001</v>
      </c>
      <c r="D12" s="467"/>
      <c r="E12" s="255">
        <f>E9-2*E10</f>
        <v>28.500000000000004</v>
      </c>
      <c r="F12" s="39"/>
      <c r="G12" s="39">
        <f t="shared" ref="G12:U12" si="0">G9-2*G10</f>
        <v>43.099999999999994</v>
      </c>
      <c r="H12" s="39">
        <f t="shared" si="0"/>
        <v>54.5</v>
      </c>
      <c r="I12" s="39">
        <f>I9-2*I10</f>
        <v>70.3</v>
      </c>
      <c r="J12" s="39">
        <f t="shared" si="0"/>
        <v>82.5</v>
      </c>
      <c r="K12" s="39">
        <f t="shared" si="0"/>
        <v>107.1</v>
      </c>
      <c r="L12" s="39">
        <f t="shared" si="0"/>
        <v>131.69999999999999</v>
      </c>
      <c r="M12" s="39">
        <f t="shared" si="0"/>
        <v>159.30000000000001</v>
      </c>
      <c r="N12" s="39">
        <f t="shared" si="0"/>
        <v>206.5</v>
      </c>
      <c r="O12" s="39">
        <f t="shared" si="0"/>
        <v>260.39999999999998</v>
      </c>
      <c r="P12" s="39">
        <f t="shared" si="0"/>
        <v>309.7</v>
      </c>
      <c r="Q12" s="39">
        <f t="shared" si="0"/>
        <v>339.6</v>
      </c>
      <c r="R12" s="39">
        <f t="shared" si="0"/>
        <v>388.79999999999995</v>
      </c>
      <c r="S12" s="39">
        <f t="shared" si="0"/>
        <v>437</v>
      </c>
      <c r="T12" s="39">
        <f t="shared" si="0"/>
        <v>486</v>
      </c>
      <c r="U12" s="87">
        <f t="shared" si="0"/>
        <v>585</v>
      </c>
      <c r="V12" s="711" t="s">
        <v>238</v>
      </c>
      <c r="W12" s="712"/>
      <c r="X12" s="547"/>
      <c r="Y12" s="548"/>
      <c r="Z12" s="296" t="s">
        <v>222</v>
      </c>
      <c r="AA12" s="40"/>
      <c r="AB12" s="39"/>
      <c r="AC12" s="39"/>
      <c r="AQ12" s="89"/>
    </row>
    <row r="13" spans="1:43" ht="13.15" customHeight="1" x14ac:dyDescent="0.2">
      <c r="A13" s="413" t="s">
        <v>638</v>
      </c>
      <c r="B13" s="158" t="s">
        <v>220</v>
      </c>
      <c r="C13" s="44">
        <v>15</v>
      </c>
      <c r="D13" s="38" t="s">
        <v>648</v>
      </c>
      <c r="E13" s="468">
        <v>15</v>
      </c>
      <c r="F13" s="38" t="s">
        <v>649</v>
      </c>
      <c r="G13" s="43">
        <v>40</v>
      </c>
      <c r="H13" s="43">
        <v>50</v>
      </c>
      <c r="I13" s="43" t="s">
        <v>299</v>
      </c>
      <c r="J13" s="43">
        <v>80</v>
      </c>
      <c r="K13" s="43">
        <v>100</v>
      </c>
      <c r="L13" s="43" t="s">
        <v>300</v>
      </c>
      <c r="M13" s="43">
        <v>150</v>
      </c>
      <c r="N13" s="43">
        <v>200</v>
      </c>
      <c r="O13" s="43">
        <v>250</v>
      </c>
      <c r="P13" s="43">
        <v>300</v>
      </c>
      <c r="Q13" s="43">
        <v>350</v>
      </c>
      <c r="R13" s="78">
        <v>400</v>
      </c>
      <c r="S13" s="38">
        <v>450</v>
      </c>
      <c r="T13" s="38">
        <v>500</v>
      </c>
      <c r="U13" s="37">
        <v>600</v>
      </c>
      <c r="V13" s="702" t="s">
        <v>254</v>
      </c>
      <c r="W13" s="703"/>
      <c r="X13" s="704"/>
      <c r="Y13" s="705"/>
      <c r="Z13" s="158" t="s">
        <v>220</v>
      </c>
      <c r="AA13" s="44">
        <v>15</v>
      </c>
      <c r="AB13" s="43">
        <v>25</v>
      </c>
      <c r="AC13" s="43">
        <v>40</v>
      </c>
      <c r="AQ13" s="89"/>
    </row>
    <row r="14" spans="1:43" ht="13.15" customHeight="1" x14ac:dyDescent="0.2">
      <c r="A14" s="416" t="s">
        <v>639</v>
      </c>
      <c r="B14" s="297" t="s">
        <v>222</v>
      </c>
      <c r="C14" s="35">
        <v>21.3</v>
      </c>
      <c r="D14" s="34">
        <v>26.9</v>
      </c>
      <c r="E14" s="254">
        <v>21.3</v>
      </c>
      <c r="F14" s="34">
        <v>42.4</v>
      </c>
      <c r="G14" s="34">
        <v>48.3</v>
      </c>
      <c r="H14" s="34">
        <v>60.3</v>
      </c>
      <c r="I14" s="34">
        <v>76.099999999999994</v>
      </c>
      <c r="J14" s="34">
        <v>88.9</v>
      </c>
      <c r="K14" s="34">
        <v>114.3</v>
      </c>
      <c r="L14" s="34">
        <v>139.69999999999999</v>
      </c>
      <c r="M14" s="34">
        <v>168.3</v>
      </c>
      <c r="N14" s="34">
        <v>219.1</v>
      </c>
      <c r="O14" s="34">
        <v>273</v>
      </c>
      <c r="P14" s="34">
        <v>323.89999999999998</v>
      </c>
      <c r="Q14" s="34">
        <v>355.6</v>
      </c>
      <c r="R14" s="34">
        <v>406.4</v>
      </c>
      <c r="S14" s="34">
        <v>457</v>
      </c>
      <c r="T14" s="34">
        <v>508</v>
      </c>
      <c r="U14" s="41">
        <v>610</v>
      </c>
      <c r="V14" s="706" t="s">
        <v>255</v>
      </c>
      <c r="W14" s="600"/>
      <c r="X14" s="547"/>
      <c r="Y14" s="548"/>
      <c r="Z14" s="297" t="s">
        <v>222</v>
      </c>
      <c r="AA14" s="35">
        <v>711</v>
      </c>
      <c r="AB14" s="34">
        <v>813</v>
      </c>
      <c r="AC14" s="34">
        <v>914</v>
      </c>
      <c r="AQ14" s="89"/>
    </row>
    <row r="15" spans="1:43" ht="13.15" customHeight="1" x14ac:dyDescent="0.2">
      <c r="A15" s="417" t="s">
        <v>640</v>
      </c>
      <c r="B15" s="294" t="s">
        <v>222</v>
      </c>
      <c r="C15" s="238">
        <v>2.6</v>
      </c>
      <c r="D15" s="239">
        <v>2.6</v>
      </c>
      <c r="E15" s="240">
        <v>2.6</v>
      </c>
      <c r="F15" s="239">
        <v>2.6</v>
      </c>
      <c r="G15" s="239">
        <v>2.6</v>
      </c>
      <c r="H15" s="239">
        <v>2.9</v>
      </c>
      <c r="I15" s="239">
        <v>2.9</v>
      </c>
      <c r="J15" s="239">
        <v>3.2</v>
      </c>
      <c r="K15" s="239">
        <v>3.6</v>
      </c>
      <c r="L15" s="239">
        <v>4</v>
      </c>
      <c r="M15" s="239">
        <v>4.5</v>
      </c>
      <c r="N15" s="239">
        <v>6.3</v>
      </c>
      <c r="O15" s="239">
        <v>6.3</v>
      </c>
      <c r="P15" s="239">
        <v>7.1</v>
      </c>
      <c r="Q15" s="239">
        <v>8</v>
      </c>
      <c r="R15" s="239">
        <v>8.8000000000000007</v>
      </c>
      <c r="S15" s="240">
        <v>10</v>
      </c>
      <c r="T15" s="239">
        <v>11</v>
      </c>
      <c r="U15" s="241">
        <v>12.5</v>
      </c>
      <c r="V15" s="707" t="s">
        <v>294</v>
      </c>
      <c r="W15" s="708"/>
      <c r="X15" s="709"/>
      <c r="Y15" s="710"/>
      <c r="Z15" s="294" t="s">
        <v>222</v>
      </c>
      <c r="AA15" s="238"/>
      <c r="AB15" s="239"/>
      <c r="AC15" s="239"/>
      <c r="AQ15" s="89"/>
    </row>
    <row r="16" spans="1:43" ht="13.15" customHeight="1" thickBot="1" x14ac:dyDescent="0.25">
      <c r="A16" s="419" t="s">
        <v>641</v>
      </c>
      <c r="B16" s="296" t="s">
        <v>222</v>
      </c>
      <c r="C16" s="316">
        <v>3</v>
      </c>
      <c r="D16" s="469">
        <v>3</v>
      </c>
      <c r="E16" s="317" t="s">
        <v>543</v>
      </c>
      <c r="F16" s="317" t="s">
        <v>543</v>
      </c>
      <c r="G16" s="317" t="s">
        <v>543</v>
      </c>
      <c r="H16" s="317">
        <v>2</v>
      </c>
      <c r="I16" s="317">
        <v>2</v>
      </c>
      <c r="J16" s="317">
        <v>2</v>
      </c>
      <c r="K16" s="317">
        <v>2</v>
      </c>
      <c r="L16" s="317">
        <v>2</v>
      </c>
      <c r="M16" s="317">
        <v>2</v>
      </c>
      <c r="N16" s="317">
        <v>2</v>
      </c>
      <c r="O16" s="317">
        <v>2</v>
      </c>
      <c r="P16" s="317">
        <v>2</v>
      </c>
      <c r="Q16" s="317">
        <v>2</v>
      </c>
      <c r="R16" s="317">
        <v>2</v>
      </c>
      <c r="S16" s="317">
        <v>2</v>
      </c>
      <c r="T16" s="317">
        <v>3</v>
      </c>
      <c r="U16" s="318">
        <v>3</v>
      </c>
      <c r="V16" s="732" t="s">
        <v>457</v>
      </c>
      <c r="W16" s="733"/>
      <c r="X16" s="734"/>
      <c r="Y16" s="735"/>
      <c r="Z16" s="32" t="s">
        <v>236</v>
      </c>
      <c r="AA16" s="316"/>
      <c r="AB16" s="317"/>
      <c r="AC16" s="317"/>
      <c r="AO16"/>
      <c r="AQ16" s="89"/>
    </row>
    <row r="17" spans="1:43" ht="13.15" customHeight="1" x14ac:dyDescent="0.2">
      <c r="A17" s="31" t="s">
        <v>221</v>
      </c>
      <c r="B17" s="422"/>
      <c r="C17" s="631" t="s">
        <v>220</v>
      </c>
      <c r="D17" s="632"/>
      <c r="E17" s="633" t="s">
        <v>197</v>
      </c>
      <c r="F17" s="634"/>
      <c r="G17" s="634"/>
      <c r="H17" s="634"/>
      <c r="I17" s="634"/>
      <c r="J17" s="634"/>
      <c r="K17" s="635" t="s">
        <v>241</v>
      </c>
      <c r="L17" s="634"/>
      <c r="M17" s="634"/>
      <c r="N17" s="636"/>
      <c r="O17" s="656" t="s">
        <v>243</v>
      </c>
      <c r="P17" s="656" t="s">
        <v>242</v>
      </c>
      <c r="Q17" s="637" t="s">
        <v>244</v>
      </c>
      <c r="R17" s="638"/>
      <c r="S17" s="633" t="s">
        <v>245</v>
      </c>
      <c r="T17" s="639"/>
      <c r="U17" s="640"/>
      <c r="V17" s="263"/>
      <c r="AQ17" s="89"/>
    </row>
    <row r="18" spans="1:43" ht="13.15" customHeight="1" x14ac:dyDescent="0.2">
      <c r="A18" s="20"/>
      <c r="B18" s="424"/>
      <c r="C18" s="30" t="s">
        <v>219</v>
      </c>
      <c r="D18" s="30" t="s">
        <v>218</v>
      </c>
      <c r="E18" s="554"/>
      <c r="F18" s="555"/>
      <c r="G18" s="555"/>
      <c r="H18" s="555"/>
      <c r="I18" s="555"/>
      <c r="J18" s="555"/>
      <c r="K18" s="558"/>
      <c r="L18" s="555"/>
      <c r="M18" s="555"/>
      <c r="N18" s="556"/>
      <c r="O18" s="555"/>
      <c r="P18" s="555"/>
      <c r="Q18" s="555"/>
      <c r="R18" s="555"/>
      <c r="S18" s="641"/>
      <c r="T18" s="642"/>
      <c r="U18" s="643"/>
      <c r="V18" s="264"/>
      <c r="W18" s="168"/>
      <c r="X18" s="659" t="s">
        <v>288</v>
      </c>
      <c r="Y18" s="670"/>
      <c r="Z18" s="670"/>
      <c r="AA18" s="670"/>
      <c r="AB18" s="670"/>
      <c r="AC18" s="670"/>
      <c r="AD18" s="670"/>
      <c r="AE18" s="670"/>
      <c r="AF18" s="670"/>
      <c r="AG18" s="670"/>
      <c r="AH18" s="670"/>
      <c r="AI18" s="670"/>
      <c r="AJ18" s="670"/>
      <c r="AK18" s="670"/>
      <c r="AL18" s="670"/>
      <c r="AM18" s="670"/>
      <c r="AN18" s="670"/>
      <c r="AO18" s="660"/>
      <c r="AP18" s="660"/>
      <c r="AQ18" s="89"/>
    </row>
    <row r="19" spans="1:43" ht="13.15" customHeight="1" x14ac:dyDescent="0.2">
      <c r="A19" s="19" t="s">
        <v>217</v>
      </c>
      <c r="B19" s="60"/>
      <c r="C19" s="24">
        <v>15</v>
      </c>
      <c r="D19" s="24">
        <v>50</v>
      </c>
      <c r="E19" s="561" t="s">
        <v>497</v>
      </c>
      <c r="F19" s="562"/>
      <c r="G19" s="562"/>
      <c r="H19" s="562"/>
      <c r="I19" s="562"/>
      <c r="J19" s="563"/>
      <c r="K19" s="564" t="s">
        <v>322</v>
      </c>
      <c r="L19" s="562"/>
      <c r="M19" s="562"/>
      <c r="N19" s="563"/>
      <c r="O19" s="97" t="s">
        <v>236</v>
      </c>
      <c r="P19" s="97" t="s">
        <v>485</v>
      </c>
      <c r="Q19" s="651" t="s">
        <v>304</v>
      </c>
      <c r="R19" s="626"/>
      <c r="S19" s="88"/>
      <c r="U19" s="89"/>
      <c r="V19" s="657" t="s">
        <v>274</v>
      </c>
      <c r="W19" s="1">
        <v>15</v>
      </c>
      <c r="X19" s="139" t="s">
        <v>406</v>
      </c>
      <c r="Y19" s="137"/>
      <c r="Z19" s="137"/>
      <c r="AA19" s="137"/>
      <c r="AB19" s="137"/>
      <c r="AC19" s="137"/>
      <c r="AD19" s="137"/>
      <c r="AE19" s="137"/>
      <c r="AF19" s="137"/>
      <c r="AG19" s="137"/>
      <c r="AH19" s="137"/>
      <c r="AI19" s="137"/>
      <c r="AJ19" s="137"/>
      <c r="AK19" s="137"/>
      <c r="AL19" s="138"/>
      <c r="AM19" s="138"/>
      <c r="AN19"/>
      <c r="AQ19" s="89"/>
    </row>
    <row r="20" spans="1:43" ht="13.15" customHeight="1" x14ac:dyDescent="0.2">
      <c r="A20" s="19"/>
      <c r="B20" s="60"/>
      <c r="C20" s="24">
        <v>65</v>
      </c>
      <c r="D20" s="24">
        <v>600</v>
      </c>
      <c r="E20" s="583" t="s">
        <v>496</v>
      </c>
      <c r="F20" s="549"/>
      <c r="G20" s="549"/>
      <c r="H20" s="549"/>
      <c r="I20" s="549"/>
      <c r="J20" s="550"/>
      <c r="K20" s="584" t="s">
        <v>322</v>
      </c>
      <c r="L20" s="549"/>
      <c r="M20" s="549"/>
      <c r="N20" s="550"/>
      <c r="O20" s="98" t="s">
        <v>236</v>
      </c>
      <c r="P20" s="98" t="s">
        <v>484</v>
      </c>
      <c r="Q20" s="585" t="s">
        <v>304</v>
      </c>
      <c r="R20" s="545"/>
      <c r="S20" s="88"/>
      <c r="U20" s="89"/>
      <c r="V20" s="658"/>
      <c r="W20" s="430" t="s">
        <v>642</v>
      </c>
      <c r="X20" s="139"/>
      <c r="Y20" s="139"/>
      <c r="Z20" s="501"/>
      <c r="AA20" s="137"/>
      <c r="AB20" s="137"/>
      <c r="AC20" s="137"/>
      <c r="AD20" s="137"/>
      <c r="AE20" s="137"/>
      <c r="AF20" s="137"/>
      <c r="AG20" s="137"/>
      <c r="AH20" s="137"/>
      <c r="AI20" s="137"/>
      <c r="AJ20" s="137"/>
      <c r="AK20" s="137"/>
      <c r="AL20" s="137"/>
      <c r="AM20" s="138"/>
      <c r="AN20" s="138"/>
      <c r="AQ20" s="89"/>
    </row>
    <row r="21" spans="1:43" ht="13.15" customHeight="1" x14ac:dyDescent="0.2">
      <c r="A21" s="19"/>
      <c r="B21" s="60"/>
      <c r="C21" s="24">
        <v>700</v>
      </c>
      <c r="D21" s="24"/>
      <c r="E21" s="583" t="s">
        <v>695</v>
      </c>
      <c r="F21" s="549"/>
      <c r="G21" s="549"/>
      <c r="H21" s="549"/>
      <c r="I21" s="549"/>
      <c r="J21" s="550"/>
      <c r="K21" s="584" t="s">
        <v>697</v>
      </c>
      <c r="L21" s="721"/>
      <c r="M21" s="721"/>
      <c r="N21" s="722"/>
      <c r="O21" s="98" t="s">
        <v>236</v>
      </c>
      <c r="P21" s="98" t="s">
        <v>484</v>
      </c>
      <c r="Q21" s="652" t="s">
        <v>376</v>
      </c>
      <c r="R21" s="545"/>
      <c r="S21" s="93" t="s">
        <v>696</v>
      </c>
      <c r="U21" s="89"/>
      <c r="V21" s="658"/>
      <c r="W21" s="118">
        <v>25</v>
      </c>
      <c r="X21" s="139" t="s">
        <v>406</v>
      </c>
      <c r="Y21" s="139"/>
      <c r="Z21" s="139" t="s">
        <v>413</v>
      </c>
      <c r="AA21" s="137"/>
      <c r="AB21" s="137"/>
      <c r="AC21" s="137"/>
      <c r="AD21" s="137"/>
      <c r="AE21" s="137"/>
      <c r="AF21" s="137"/>
      <c r="AG21" s="137"/>
      <c r="AH21" s="137"/>
      <c r="AI21" s="137"/>
      <c r="AJ21" s="137"/>
      <c r="AK21" s="137"/>
      <c r="AL21" s="137"/>
      <c r="AM21" s="138"/>
      <c r="AN21" s="138"/>
      <c r="AQ21" s="89"/>
    </row>
    <row r="22" spans="1:43" ht="13.15" customHeight="1" x14ac:dyDescent="0.2">
      <c r="A22" s="19"/>
      <c r="B22" s="60"/>
      <c r="C22" s="24"/>
      <c r="D22" s="24"/>
      <c r="E22" s="155"/>
      <c r="F22" s="160"/>
      <c r="G22" s="160"/>
      <c r="H22" s="160"/>
      <c r="I22" s="160"/>
      <c r="J22" s="181"/>
      <c r="K22" s="182"/>
      <c r="L22" s="160"/>
      <c r="M22" s="160"/>
      <c r="N22" s="181"/>
      <c r="O22" s="98"/>
      <c r="P22" s="98"/>
      <c r="Q22" s="183"/>
      <c r="R22" s="161"/>
      <c r="S22" s="88"/>
      <c r="U22" s="89"/>
      <c r="V22" s="658"/>
      <c r="W22" s="430" t="s">
        <v>643</v>
      </c>
      <c r="X22" s="139"/>
      <c r="Y22" s="139"/>
      <c r="Z22" s="139"/>
      <c r="AA22" s="139"/>
      <c r="AB22" s="501"/>
      <c r="AC22" s="137"/>
      <c r="AD22" s="137"/>
      <c r="AE22" s="137"/>
      <c r="AF22" s="137"/>
      <c r="AG22" s="137"/>
      <c r="AH22" s="137"/>
      <c r="AI22" s="137"/>
      <c r="AJ22" s="137"/>
      <c r="AK22" s="137"/>
      <c r="AL22" s="137"/>
      <c r="AM22" s="137"/>
      <c r="AN22" s="138"/>
      <c r="AO22" s="138"/>
      <c r="AQ22" s="89"/>
    </row>
    <row r="23" spans="1:43" ht="13.15" customHeight="1" x14ac:dyDescent="0.2">
      <c r="A23" s="19"/>
      <c r="B23" s="60"/>
      <c r="C23" s="24"/>
      <c r="D23" s="24"/>
      <c r="E23" s="155"/>
      <c r="F23" s="160"/>
      <c r="G23" s="160"/>
      <c r="H23" s="160"/>
      <c r="I23" s="160"/>
      <c r="J23" s="181"/>
      <c r="K23" s="182"/>
      <c r="L23" s="160"/>
      <c r="M23" s="160"/>
      <c r="N23" s="181"/>
      <c r="O23" s="98"/>
      <c r="P23" s="98"/>
      <c r="Q23" s="183"/>
      <c r="R23" s="161"/>
      <c r="S23" s="88"/>
      <c r="U23" s="89"/>
      <c r="V23" s="658"/>
      <c r="W23" s="118">
        <v>40</v>
      </c>
      <c r="X23" s="139" t="s">
        <v>406</v>
      </c>
      <c r="Y23" s="139"/>
      <c r="Z23" s="139" t="s">
        <v>413</v>
      </c>
      <c r="AA23" s="139"/>
      <c r="AB23" s="139" t="s">
        <v>413</v>
      </c>
      <c r="AC23" s="137"/>
      <c r="AD23" s="137"/>
      <c r="AE23" s="137"/>
      <c r="AF23" s="137"/>
      <c r="AG23" s="137"/>
      <c r="AH23" s="137"/>
      <c r="AI23" s="137"/>
      <c r="AJ23" s="137"/>
      <c r="AK23" s="137"/>
      <c r="AL23" s="137"/>
      <c r="AM23" s="137"/>
      <c r="AN23" s="138"/>
      <c r="AO23" s="138"/>
      <c r="AQ23" s="89"/>
    </row>
    <row r="24" spans="1:43" ht="13.15" customHeight="1" x14ac:dyDescent="0.2">
      <c r="A24" s="26" t="s">
        <v>298</v>
      </c>
      <c r="B24" s="435"/>
      <c r="C24" s="29">
        <v>15</v>
      </c>
      <c r="D24" s="25">
        <v>50</v>
      </c>
      <c r="E24" s="653" t="s">
        <v>495</v>
      </c>
      <c r="F24" s="654"/>
      <c r="G24" s="654"/>
      <c r="H24" s="654"/>
      <c r="I24" s="654"/>
      <c r="J24" s="655"/>
      <c r="K24" s="699" t="s">
        <v>322</v>
      </c>
      <c r="L24" s="654"/>
      <c r="M24" s="654"/>
      <c r="N24" s="655"/>
      <c r="O24" s="148" t="s">
        <v>236</v>
      </c>
      <c r="P24" s="97" t="s">
        <v>485</v>
      </c>
      <c r="Q24" s="697" t="s">
        <v>304</v>
      </c>
      <c r="R24" s="701"/>
      <c r="S24" s="90"/>
      <c r="T24" s="91"/>
      <c r="U24" s="92"/>
      <c r="V24" s="658"/>
      <c r="W24" s="1">
        <v>50</v>
      </c>
      <c r="X24" s="139" t="s">
        <v>694</v>
      </c>
      <c r="Y24" s="139"/>
      <c r="Z24" s="139" t="s">
        <v>413</v>
      </c>
      <c r="AA24" s="139"/>
      <c r="AB24" s="139" t="s">
        <v>413</v>
      </c>
      <c r="AC24" s="139" t="s">
        <v>413</v>
      </c>
      <c r="AD24" s="137"/>
      <c r="AE24" s="137"/>
      <c r="AF24" s="137"/>
      <c r="AG24" s="137"/>
      <c r="AH24" s="137"/>
      <c r="AI24" s="137"/>
      <c r="AJ24" s="137"/>
      <c r="AK24" s="137"/>
      <c r="AL24" s="137"/>
      <c r="AM24" s="137"/>
      <c r="AN24" s="138"/>
      <c r="AO24" s="138"/>
      <c r="AQ24" s="89"/>
    </row>
    <row r="25" spans="1:43" ht="13.15" customHeight="1" x14ac:dyDescent="0.2">
      <c r="A25" s="19" t="s">
        <v>305</v>
      </c>
      <c r="B25" s="60"/>
      <c r="C25" s="235">
        <v>15</v>
      </c>
      <c r="D25" s="242">
        <v>600</v>
      </c>
      <c r="E25" s="644" t="s">
        <v>503</v>
      </c>
      <c r="F25" s="645"/>
      <c r="G25" s="645"/>
      <c r="H25" s="645"/>
      <c r="I25" s="645"/>
      <c r="J25" s="646"/>
      <c r="K25" s="700" t="s">
        <v>323</v>
      </c>
      <c r="L25" s="645"/>
      <c r="M25" s="645"/>
      <c r="N25" s="646"/>
      <c r="O25" s="188" t="s">
        <v>236</v>
      </c>
      <c r="P25" s="188" t="s">
        <v>246</v>
      </c>
      <c r="Q25" s="647" t="s">
        <v>306</v>
      </c>
      <c r="R25" s="723"/>
      <c r="S25" s="93"/>
      <c r="U25" s="89"/>
      <c r="V25" s="658"/>
      <c r="W25" s="227" t="s">
        <v>295</v>
      </c>
      <c r="X25" s="139" t="s">
        <v>694</v>
      </c>
      <c r="Y25" s="142"/>
      <c r="Z25" s="142" t="s">
        <v>413</v>
      </c>
      <c r="AA25" s="139"/>
      <c r="AB25" s="139" t="s">
        <v>413</v>
      </c>
      <c r="AC25" s="139" t="s">
        <v>413</v>
      </c>
      <c r="AD25" s="139" t="s">
        <v>413</v>
      </c>
      <c r="AE25" s="147"/>
      <c r="AF25" s="137"/>
      <c r="AG25" s="137"/>
      <c r="AH25" s="137"/>
      <c r="AI25" s="137"/>
      <c r="AJ25" s="137"/>
      <c r="AK25" s="137"/>
      <c r="AL25" s="137"/>
      <c r="AM25" s="137"/>
      <c r="AN25" s="137"/>
      <c r="AO25" s="138"/>
      <c r="AP25" s="138"/>
      <c r="AQ25" s="89"/>
    </row>
    <row r="26" spans="1:43" ht="13.15" customHeight="1" x14ac:dyDescent="0.2">
      <c r="A26" s="19"/>
      <c r="B26" s="60"/>
      <c r="C26" s="24">
        <v>100</v>
      </c>
      <c r="D26" s="23">
        <v>600</v>
      </c>
      <c r="E26" s="583" t="s">
        <v>504</v>
      </c>
      <c r="F26" s="549"/>
      <c r="G26" s="549"/>
      <c r="H26" s="549"/>
      <c r="I26" s="549"/>
      <c r="J26" s="550"/>
      <c r="K26" s="584" t="s">
        <v>323</v>
      </c>
      <c r="L26" s="549"/>
      <c r="M26" s="549"/>
      <c r="N26" s="550"/>
      <c r="O26" s="98" t="s">
        <v>236</v>
      </c>
      <c r="P26" s="98" t="s">
        <v>246</v>
      </c>
      <c r="Q26" s="585" t="s">
        <v>306</v>
      </c>
      <c r="R26" s="615"/>
      <c r="S26" s="93" t="s">
        <v>292</v>
      </c>
      <c r="U26" s="89"/>
      <c r="V26" s="658"/>
      <c r="W26" s="1">
        <v>80</v>
      </c>
      <c r="X26" s="139" t="s">
        <v>694</v>
      </c>
      <c r="Y26" s="139"/>
      <c r="Z26" s="139" t="s">
        <v>694</v>
      </c>
      <c r="AA26" s="139"/>
      <c r="AB26" s="139" t="s">
        <v>413</v>
      </c>
      <c r="AC26" s="139" t="s">
        <v>413</v>
      </c>
      <c r="AD26" s="139" t="s">
        <v>413</v>
      </c>
      <c r="AE26" s="139" t="s">
        <v>413</v>
      </c>
      <c r="AF26" s="137"/>
      <c r="AG26" s="137"/>
      <c r="AH26" s="137"/>
      <c r="AI26" s="137"/>
      <c r="AJ26" s="137"/>
      <c r="AK26" s="137"/>
      <c r="AL26" s="137"/>
      <c r="AM26" s="137"/>
      <c r="AN26" s="137"/>
      <c r="AO26" s="138"/>
      <c r="AP26" s="138"/>
      <c r="AQ26" s="89"/>
    </row>
    <row r="27" spans="1:43" ht="13.15" customHeight="1" x14ac:dyDescent="0.2">
      <c r="A27" s="19"/>
      <c r="B27" s="60"/>
      <c r="C27" s="24"/>
      <c r="D27" s="23"/>
      <c r="E27" s="583"/>
      <c r="F27" s="549"/>
      <c r="G27" s="549"/>
      <c r="H27" s="549"/>
      <c r="I27" s="549"/>
      <c r="J27" s="550"/>
      <c r="K27" s="584"/>
      <c r="L27" s="549"/>
      <c r="M27" s="549"/>
      <c r="N27" s="550"/>
      <c r="O27" s="98"/>
      <c r="P27" s="98"/>
      <c r="Q27" s="585"/>
      <c r="R27" s="545"/>
      <c r="S27" s="93"/>
      <c r="U27" s="89"/>
      <c r="V27" s="658"/>
      <c r="W27" s="1">
        <v>100</v>
      </c>
      <c r="X27" s="139" t="s">
        <v>410</v>
      </c>
      <c r="Y27" s="139"/>
      <c r="Z27" s="139" t="s">
        <v>401</v>
      </c>
      <c r="AA27" s="139"/>
      <c r="AB27" s="139" t="s">
        <v>413</v>
      </c>
      <c r="AC27" s="139" t="s">
        <v>413</v>
      </c>
      <c r="AD27" s="139" t="s">
        <v>407</v>
      </c>
      <c r="AE27" s="139" t="s">
        <v>407</v>
      </c>
      <c r="AF27" s="139" t="s">
        <v>407</v>
      </c>
      <c r="AG27" s="147"/>
      <c r="AH27" s="137"/>
      <c r="AI27" s="137"/>
      <c r="AJ27" s="137"/>
      <c r="AK27" s="137"/>
      <c r="AL27" s="137"/>
      <c r="AM27" s="137"/>
      <c r="AN27" s="137"/>
      <c r="AO27" s="138"/>
      <c r="AP27" s="138"/>
      <c r="AQ27" s="89"/>
    </row>
    <row r="28" spans="1:43" ht="13.15" customHeight="1" x14ac:dyDescent="0.2">
      <c r="A28" s="20"/>
      <c r="B28" s="424"/>
      <c r="C28" s="28"/>
      <c r="D28" s="27"/>
      <c r="E28" s="320"/>
      <c r="F28" s="124"/>
      <c r="G28" s="124"/>
      <c r="H28" s="124"/>
      <c r="I28" s="124"/>
      <c r="J28" s="354"/>
      <c r="K28" s="321"/>
      <c r="L28" s="124"/>
      <c r="M28" s="124"/>
      <c r="N28" s="354"/>
      <c r="O28" s="110"/>
      <c r="P28" s="110"/>
      <c r="Q28" s="80"/>
      <c r="R28" s="80"/>
      <c r="S28" s="94"/>
      <c r="T28" s="95"/>
      <c r="U28" s="96"/>
      <c r="V28" s="658"/>
      <c r="W28" s="227" t="s">
        <v>296</v>
      </c>
      <c r="X28" s="139" t="s">
        <v>410</v>
      </c>
      <c r="Y28" s="139"/>
      <c r="Z28" s="139" t="s">
        <v>401</v>
      </c>
      <c r="AA28" s="139"/>
      <c r="AB28" s="139" t="s">
        <v>402</v>
      </c>
      <c r="AC28" s="139" t="s">
        <v>413</v>
      </c>
      <c r="AD28" s="139" t="s">
        <v>407</v>
      </c>
      <c r="AE28" s="139" t="s">
        <v>407</v>
      </c>
      <c r="AF28" s="139" t="s">
        <v>407</v>
      </c>
      <c r="AG28" s="139" t="s">
        <v>407</v>
      </c>
      <c r="AH28" s="137"/>
      <c r="AI28" s="137"/>
      <c r="AJ28" s="137"/>
      <c r="AK28" s="137"/>
      <c r="AL28" s="137"/>
      <c r="AM28" s="137"/>
      <c r="AN28" s="137"/>
      <c r="AO28" s="138"/>
      <c r="AP28" s="138"/>
      <c r="AQ28" s="89"/>
    </row>
    <row r="29" spans="1:43" ht="13.15" customHeight="1" x14ac:dyDescent="0.2">
      <c r="A29" s="19" t="s">
        <v>249</v>
      </c>
      <c r="B29" s="60"/>
      <c r="C29" s="24">
        <v>15</v>
      </c>
      <c r="D29" s="24">
        <v>80</v>
      </c>
      <c r="E29" s="561" t="s">
        <v>271</v>
      </c>
      <c r="F29" s="562"/>
      <c r="G29" s="562"/>
      <c r="H29" s="562"/>
      <c r="I29" s="562"/>
      <c r="J29" s="563"/>
      <c r="K29" s="564" t="s">
        <v>323</v>
      </c>
      <c r="L29" s="562"/>
      <c r="M29" s="562"/>
      <c r="N29" s="563"/>
      <c r="O29" s="97" t="s">
        <v>236</v>
      </c>
      <c r="P29" s="97" t="s">
        <v>246</v>
      </c>
      <c r="Q29" s="565" t="s">
        <v>306</v>
      </c>
      <c r="R29" s="566"/>
      <c r="S29" s="694" t="s">
        <v>548</v>
      </c>
      <c r="T29" s="91"/>
      <c r="U29" s="92"/>
      <c r="V29" s="658"/>
      <c r="W29" s="1">
        <v>150</v>
      </c>
      <c r="X29" s="139" t="s">
        <v>410</v>
      </c>
      <c r="Y29" s="139"/>
      <c r="Z29" s="139" t="s">
        <v>401</v>
      </c>
      <c r="AA29" s="139"/>
      <c r="AB29" s="139" t="s">
        <v>402</v>
      </c>
      <c r="AC29" s="139" t="s">
        <v>416</v>
      </c>
      <c r="AD29" s="139" t="s">
        <v>407</v>
      </c>
      <c r="AE29" s="139" t="s">
        <v>407</v>
      </c>
      <c r="AF29" s="139" t="s">
        <v>407</v>
      </c>
      <c r="AG29" s="139" t="s">
        <v>407</v>
      </c>
      <c r="AH29" s="139" t="s">
        <v>407</v>
      </c>
      <c r="AI29" s="137"/>
      <c r="AJ29" s="137"/>
      <c r="AK29" s="137"/>
      <c r="AL29" s="137"/>
      <c r="AM29" s="137"/>
      <c r="AN29" s="137"/>
      <c r="AO29" s="138"/>
      <c r="AP29" s="138"/>
      <c r="AQ29" s="89"/>
    </row>
    <row r="30" spans="1:43" ht="13.15" customHeight="1" x14ac:dyDescent="0.2">
      <c r="A30" s="19" t="s">
        <v>250</v>
      </c>
      <c r="B30" s="60"/>
      <c r="C30" s="24">
        <v>100</v>
      </c>
      <c r="D30" s="24">
        <v>600</v>
      </c>
      <c r="E30" s="583" t="s">
        <v>271</v>
      </c>
      <c r="F30" s="549"/>
      <c r="G30" s="549"/>
      <c r="H30" s="549"/>
      <c r="I30" s="549"/>
      <c r="J30" s="550"/>
      <c r="K30" s="584" t="s">
        <v>323</v>
      </c>
      <c r="L30" s="549"/>
      <c r="M30" s="549"/>
      <c r="N30" s="550"/>
      <c r="O30" s="98" t="s">
        <v>236</v>
      </c>
      <c r="P30" s="98" t="s">
        <v>246</v>
      </c>
      <c r="Q30" s="585" t="s">
        <v>680</v>
      </c>
      <c r="R30" s="615"/>
      <c r="S30" s="695"/>
      <c r="U30" s="89"/>
      <c r="V30" s="658"/>
      <c r="W30" s="1">
        <v>200</v>
      </c>
      <c r="X30" s="139" t="s">
        <v>410</v>
      </c>
      <c r="Y30" s="139"/>
      <c r="Z30" s="139" t="s">
        <v>401</v>
      </c>
      <c r="AA30" s="139"/>
      <c r="AB30" s="139" t="s">
        <v>402</v>
      </c>
      <c r="AC30" s="139" t="s">
        <v>416</v>
      </c>
      <c r="AD30" s="139" t="s">
        <v>416</v>
      </c>
      <c r="AE30" s="139" t="s">
        <v>407</v>
      </c>
      <c r="AF30" s="139" t="s">
        <v>407</v>
      </c>
      <c r="AG30" s="139" t="s">
        <v>407</v>
      </c>
      <c r="AH30" s="139" t="s">
        <v>407</v>
      </c>
      <c r="AI30" s="139" t="s">
        <v>407</v>
      </c>
      <c r="AJ30" s="137"/>
      <c r="AK30" s="137"/>
      <c r="AL30" s="137"/>
      <c r="AM30" s="137"/>
      <c r="AN30" s="137"/>
      <c r="AO30" s="138"/>
      <c r="AP30" s="138"/>
      <c r="AQ30" s="89"/>
    </row>
    <row r="31" spans="1:43" ht="13.15" customHeight="1" x14ac:dyDescent="0.2">
      <c r="A31" s="19"/>
      <c r="B31" s="60"/>
      <c r="C31" s="210" t="s">
        <v>236</v>
      </c>
      <c r="D31" s="210" t="s">
        <v>236</v>
      </c>
      <c r="E31" s="583" t="s">
        <v>325</v>
      </c>
      <c r="F31" s="549"/>
      <c r="G31" s="549"/>
      <c r="H31" s="549"/>
      <c r="I31" s="549"/>
      <c r="J31" s="550"/>
      <c r="K31" s="584" t="s">
        <v>322</v>
      </c>
      <c r="L31" s="549"/>
      <c r="M31" s="549"/>
      <c r="N31" s="550"/>
      <c r="O31" s="98" t="s">
        <v>236</v>
      </c>
      <c r="P31" s="98" t="s">
        <v>246</v>
      </c>
      <c r="Q31" s="585" t="s">
        <v>347</v>
      </c>
      <c r="R31" s="615"/>
      <c r="S31" s="695"/>
      <c r="U31" s="89"/>
      <c r="V31" s="658"/>
      <c r="W31" s="1">
        <v>250</v>
      </c>
      <c r="X31" s="139" t="s">
        <v>410</v>
      </c>
      <c r="Y31" s="139"/>
      <c r="Z31" s="139" t="s">
        <v>401</v>
      </c>
      <c r="AA31" s="139"/>
      <c r="AB31" s="139" t="s">
        <v>402</v>
      </c>
      <c r="AC31" s="139" t="s">
        <v>416</v>
      </c>
      <c r="AD31" s="139" t="s">
        <v>416</v>
      </c>
      <c r="AE31" s="139" t="s">
        <v>430</v>
      </c>
      <c r="AF31" s="139" t="s">
        <v>407</v>
      </c>
      <c r="AG31" s="139" t="s">
        <v>407</v>
      </c>
      <c r="AH31" s="139" t="s">
        <v>407</v>
      </c>
      <c r="AI31" s="139" t="s">
        <v>407</v>
      </c>
      <c r="AJ31" s="139" t="s">
        <v>407</v>
      </c>
      <c r="AK31" s="137"/>
      <c r="AL31" s="137"/>
      <c r="AM31" s="137"/>
      <c r="AN31" s="137"/>
      <c r="AO31" s="138"/>
      <c r="AP31" s="138"/>
      <c r="AQ31" s="89"/>
    </row>
    <row r="32" spans="1:43" ht="13.15" customHeight="1" x14ac:dyDescent="0.2">
      <c r="A32" s="19"/>
      <c r="B32" s="60"/>
      <c r="C32" s="210"/>
      <c r="D32" s="210"/>
      <c r="E32" s="155"/>
      <c r="F32" s="160"/>
      <c r="G32" s="160"/>
      <c r="H32" s="160"/>
      <c r="I32" s="160"/>
      <c r="J32" s="181"/>
      <c r="K32" s="182"/>
      <c r="L32" s="160"/>
      <c r="M32" s="160"/>
      <c r="N32" s="181"/>
      <c r="O32" s="98"/>
      <c r="P32" s="98"/>
      <c r="Q32" s="347"/>
      <c r="R32" s="348"/>
      <c r="S32" s="695"/>
      <c r="U32" s="89"/>
      <c r="V32" s="658"/>
      <c r="W32" s="1">
        <v>300</v>
      </c>
      <c r="X32" s="139" t="s">
        <v>410</v>
      </c>
      <c r="Y32" s="139"/>
      <c r="Z32" s="139" t="s">
        <v>401</v>
      </c>
      <c r="AA32" s="139"/>
      <c r="AB32" s="139" t="s">
        <v>402</v>
      </c>
      <c r="AC32" s="139" t="s">
        <v>416</v>
      </c>
      <c r="AD32" s="139" t="s">
        <v>416</v>
      </c>
      <c r="AE32" s="139" t="s">
        <v>430</v>
      </c>
      <c r="AF32" s="139" t="s">
        <v>433</v>
      </c>
      <c r="AG32" s="139" t="s">
        <v>407</v>
      </c>
      <c r="AH32" s="139" t="s">
        <v>407</v>
      </c>
      <c r="AI32" s="139" t="s">
        <v>407</v>
      </c>
      <c r="AJ32" s="139" t="s">
        <v>407</v>
      </c>
      <c r="AK32" s="139" t="s">
        <v>407</v>
      </c>
      <c r="AL32" s="137"/>
      <c r="AM32" s="137"/>
      <c r="AN32" s="137"/>
      <c r="AO32" s="138"/>
      <c r="AP32" s="138"/>
      <c r="AQ32" s="89"/>
    </row>
    <row r="33" spans="1:43" ht="13.15" customHeight="1" x14ac:dyDescent="0.2">
      <c r="A33" s="19" t="s">
        <v>256</v>
      </c>
      <c r="B33" s="60"/>
      <c r="C33" s="24">
        <v>100</v>
      </c>
      <c r="D33" s="24">
        <v>150</v>
      </c>
      <c r="E33" s="583" t="s">
        <v>529</v>
      </c>
      <c r="F33" s="549"/>
      <c r="G33" s="549"/>
      <c r="H33" s="549"/>
      <c r="I33" s="549"/>
      <c r="J33" s="550"/>
      <c r="K33" s="584" t="s">
        <v>418</v>
      </c>
      <c r="L33" s="549"/>
      <c r="M33" s="549"/>
      <c r="N33" s="550"/>
      <c r="O33" s="98" t="s">
        <v>236</v>
      </c>
      <c r="P33" s="98" t="s">
        <v>328</v>
      </c>
      <c r="Q33" s="585" t="s">
        <v>332</v>
      </c>
      <c r="R33" s="545"/>
      <c r="S33" s="695"/>
      <c r="T33" s="60" t="s">
        <v>524</v>
      </c>
      <c r="U33" s="322"/>
      <c r="V33" s="658"/>
      <c r="W33" s="1">
        <v>350</v>
      </c>
      <c r="X33" s="139" t="s">
        <v>410</v>
      </c>
      <c r="Y33" s="139"/>
      <c r="Z33" s="139" t="s">
        <v>401</v>
      </c>
      <c r="AA33" s="139"/>
      <c r="AB33" s="139" t="s">
        <v>402</v>
      </c>
      <c r="AC33" s="139" t="s">
        <v>416</v>
      </c>
      <c r="AD33" s="139" t="s">
        <v>416</v>
      </c>
      <c r="AE33" s="139" t="s">
        <v>430</v>
      </c>
      <c r="AF33" s="139" t="s">
        <v>433</v>
      </c>
      <c r="AG33" s="139" t="s">
        <v>453</v>
      </c>
      <c r="AH33" s="139" t="s">
        <v>407</v>
      </c>
      <c r="AI33" s="139" t="s">
        <v>407</v>
      </c>
      <c r="AJ33" s="139" t="s">
        <v>407</v>
      </c>
      <c r="AK33" s="139" t="s">
        <v>407</v>
      </c>
      <c r="AL33" s="139" t="s">
        <v>407</v>
      </c>
      <c r="AM33" s="137"/>
      <c r="AN33" s="137"/>
      <c r="AO33" s="138"/>
      <c r="AP33" s="138"/>
      <c r="AQ33" s="89"/>
    </row>
    <row r="34" spans="1:43" ht="13.15" customHeight="1" x14ac:dyDescent="0.2">
      <c r="A34" s="19"/>
      <c r="B34" s="60"/>
      <c r="C34" s="24">
        <v>200</v>
      </c>
      <c r="D34" s="24">
        <v>600</v>
      </c>
      <c r="E34" s="583" t="s">
        <v>528</v>
      </c>
      <c r="F34" s="549"/>
      <c r="G34" s="549"/>
      <c r="H34" s="549"/>
      <c r="I34" s="549"/>
      <c r="J34" s="550"/>
      <c r="K34" s="584" t="s">
        <v>418</v>
      </c>
      <c r="L34" s="549"/>
      <c r="M34" s="549"/>
      <c r="N34" s="550"/>
      <c r="O34" s="165" t="s">
        <v>236</v>
      </c>
      <c r="P34" s="98" t="s">
        <v>328</v>
      </c>
      <c r="Q34" s="585" t="s">
        <v>332</v>
      </c>
      <c r="R34" s="545"/>
      <c r="S34" s="695"/>
      <c r="T34" s="60" t="s">
        <v>525</v>
      </c>
      <c r="U34" s="89"/>
      <c r="V34" s="658"/>
      <c r="W34" s="1">
        <v>400</v>
      </c>
      <c r="X34" s="139" t="s">
        <v>410</v>
      </c>
      <c r="Y34" s="139"/>
      <c r="Z34" s="139" t="s">
        <v>401</v>
      </c>
      <c r="AA34" s="139"/>
      <c r="AB34" s="139" t="s">
        <v>402</v>
      </c>
      <c r="AC34" s="139" t="s">
        <v>416</v>
      </c>
      <c r="AD34" s="139" t="s">
        <v>416</v>
      </c>
      <c r="AE34" s="139" t="s">
        <v>430</v>
      </c>
      <c r="AF34" s="139" t="s">
        <v>433</v>
      </c>
      <c r="AG34" s="139" t="s">
        <v>453</v>
      </c>
      <c r="AH34" s="141" t="s">
        <v>407</v>
      </c>
      <c r="AI34" s="141" t="s">
        <v>407</v>
      </c>
      <c r="AJ34" s="141" t="s">
        <v>407</v>
      </c>
      <c r="AK34" s="141" t="s">
        <v>407</v>
      </c>
      <c r="AL34" s="141" t="s">
        <v>407</v>
      </c>
      <c r="AM34" s="141" t="s">
        <v>407</v>
      </c>
      <c r="AN34" s="137"/>
      <c r="AO34" s="138"/>
      <c r="AP34" s="138"/>
      <c r="AQ34" s="89"/>
    </row>
    <row r="35" spans="1:43" ht="13.15" customHeight="1" x14ac:dyDescent="0.2">
      <c r="A35" s="19"/>
      <c r="B35" s="60"/>
      <c r="C35" s="24"/>
      <c r="D35" s="24"/>
      <c r="E35" s="583" t="s">
        <v>530</v>
      </c>
      <c r="F35" s="549"/>
      <c r="G35" s="549"/>
      <c r="H35" s="549"/>
      <c r="I35" s="549"/>
      <c r="J35" s="550"/>
      <c r="K35" s="584">
        <v>1.5415000000000001</v>
      </c>
      <c r="L35" s="549"/>
      <c r="M35" s="549"/>
      <c r="N35" s="550"/>
      <c r="O35" s="165" t="s">
        <v>236</v>
      </c>
      <c r="P35" s="98" t="s">
        <v>257</v>
      </c>
      <c r="Q35" s="585" t="s">
        <v>721</v>
      </c>
      <c r="R35" s="545"/>
      <c r="S35" s="695"/>
      <c r="U35" s="89"/>
      <c r="V35" s="658"/>
      <c r="W35" s="1">
        <v>450</v>
      </c>
      <c r="X35" s="139" t="s">
        <v>410</v>
      </c>
      <c r="Y35" s="139"/>
      <c r="Z35" s="139" t="s">
        <v>401</v>
      </c>
      <c r="AA35" s="139"/>
      <c r="AB35" s="139" t="s">
        <v>402</v>
      </c>
      <c r="AC35" s="139" t="s">
        <v>443</v>
      </c>
      <c r="AD35" s="139" t="s">
        <v>443</v>
      </c>
      <c r="AE35" s="139" t="s">
        <v>443</v>
      </c>
      <c r="AF35" s="139" t="s">
        <v>433</v>
      </c>
      <c r="AG35" s="139" t="s">
        <v>453</v>
      </c>
      <c r="AH35" s="139" t="s">
        <v>435</v>
      </c>
      <c r="AI35" s="141" t="s">
        <v>407</v>
      </c>
      <c r="AJ35" s="141" t="s">
        <v>407</v>
      </c>
      <c r="AK35" s="141" t="s">
        <v>407</v>
      </c>
      <c r="AL35" s="141" t="s">
        <v>407</v>
      </c>
      <c r="AM35" s="141" t="s">
        <v>407</v>
      </c>
      <c r="AN35" s="141" t="s">
        <v>407</v>
      </c>
      <c r="AO35" s="138"/>
      <c r="AP35" s="138"/>
      <c r="AQ35" s="89"/>
    </row>
    <row r="36" spans="1:43" ht="13.15" customHeight="1" x14ac:dyDescent="0.2">
      <c r="A36" s="19"/>
      <c r="B36" s="60"/>
      <c r="C36" s="24"/>
      <c r="D36" s="24"/>
      <c r="E36" s="583" t="s">
        <v>327</v>
      </c>
      <c r="F36" s="549"/>
      <c r="G36" s="549"/>
      <c r="H36" s="549"/>
      <c r="I36" s="549"/>
      <c r="J36" s="550"/>
      <c r="K36" s="584" t="s">
        <v>330</v>
      </c>
      <c r="L36" s="549"/>
      <c r="M36" s="549"/>
      <c r="N36" s="550"/>
      <c r="O36" s="98" t="s">
        <v>236</v>
      </c>
      <c r="P36" s="98" t="s">
        <v>257</v>
      </c>
      <c r="Q36" s="585" t="s">
        <v>329</v>
      </c>
      <c r="R36" s="545"/>
      <c r="S36" s="695"/>
      <c r="U36" s="89"/>
      <c r="V36" s="658"/>
      <c r="W36" s="1">
        <v>500</v>
      </c>
      <c r="X36" s="139" t="s">
        <v>410</v>
      </c>
      <c r="Y36" s="139"/>
      <c r="Z36" s="139" t="s">
        <v>401</v>
      </c>
      <c r="AA36" s="139"/>
      <c r="AB36" s="139" t="s">
        <v>402</v>
      </c>
      <c r="AC36" s="139" t="s">
        <v>443</v>
      </c>
      <c r="AD36" s="139" t="s">
        <v>443</v>
      </c>
      <c r="AE36" s="139" t="s">
        <v>443</v>
      </c>
      <c r="AF36" s="139" t="s">
        <v>433</v>
      </c>
      <c r="AG36" s="139" t="s">
        <v>453</v>
      </c>
      <c r="AH36" s="139" t="s">
        <v>435</v>
      </c>
      <c r="AI36" s="139" t="s">
        <v>434</v>
      </c>
      <c r="AJ36" s="139" t="s">
        <v>396</v>
      </c>
      <c r="AK36" s="139" t="s">
        <v>396</v>
      </c>
      <c r="AL36" s="139" t="s">
        <v>396</v>
      </c>
      <c r="AM36" s="139" t="s">
        <v>396</v>
      </c>
      <c r="AN36" s="139" t="s">
        <v>396</v>
      </c>
      <c r="AO36" s="139" t="s">
        <v>396</v>
      </c>
      <c r="AP36" s="138"/>
      <c r="AQ36" s="89"/>
    </row>
    <row r="37" spans="1:43" ht="13.15" customHeight="1" x14ac:dyDescent="0.2">
      <c r="A37" s="19" t="s">
        <v>258</v>
      </c>
      <c r="B37" s="60"/>
      <c r="C37" s="24">
        <v>15</v>
      </c>
      <c r="D37" s="24">
        <v>40</v>
      </c>
      <c r="E37" s="583" t="s">
        <v>271</v>
      </c>
      <c r="F37" s="549"/>
      <c r="G37" s="549"/>
      <c r="H37" s="549"/>
      <c r="I37" s="549"/>
      <c r="J37" s="550"/>
      <c r="K37" s="584" t="s">
        <v>323</v>
      </c>
      <c r="L37" s="549"/>
      <c r="M37" s="549"/>
      <c r="N37" s="550"/>
      <c r="O37" s="98" t="s">
        <v>236</v>
      </c>
      <c r="P37" s="98" t="s">
        <v>246</v>
      </c>
      <c r="Q37" s="585" t="s">
        <v>306</v>
      </c>
      <c r="R37" s="545"/>
      <c r="S37" s="695"/>
      <c r="U37" s="89"/>
      <c r="V37" s="658"/>
      <c r="W37" s="1">
        <v>600</v>
      </c>
      <c r="X37" s="139" t="s">
        <v>410</v>
      </c>
      <c r="Y37" s="139"/>
      <c r="Z37" s="139" t="s">
        <v>401</v>
      </c>
      <c r="AA37" s="139"/>
      <c r="AB37" s="139" t="s">
        <v>402</v>
      </c>
      <c r="AC37" s="139" t="s">
        <v>443</v>
      </c>
      <c r="AD37" s="139" t="s">
        <v>443</v>
      </c>
      <c r="AE37" s="139" t="s">
        <v>443</v>
      </c>
      <c r="AF37" s="139" t="s">
        <v>433</v>
      </c>
      <c r="AG37" s="139" t="s">
        <v>453</v>
      </c>
      <c r="AH37" s="139" t="s">
        <v>435</v>
      </c>
      <c r="AI37" s="139" t="s">
        <v>434</v>
      </c>
      <c r="AJ37" s="139" t="s">
        <v>396</v>
      </c>
      <c r="AK37" s="139" t="s">
        <v>396</v>
      </c>
      <c r="AL37" s="139" t="s">
        <v>396</v>
      </c>
      <c r="AM37" s="139" t="s">
        <v>396</v>
      </c>
      <c r="AN37" s="139" t="s">
        <v>396</v>
      </c>
      <c r="AO37" s="139" t="s">
        <v>396</v>
      </c>
      <c r="AP37" s="139" t="s">
        <v>396</v>
      </c>
      <c r="AQ37" s="89"/>
    </row>
    <row r="38" spans="1:43" ht="13.15" customHeight="1" x14ac:dyDescent="0.2">
      <c r="A38" s="19"/>
      <c r="B38" s="60"/>
      <c r="C38" s="24">
        <v>50</v>
      </c>
      <c r="D38" s="24">
        <v>600</v>
      </c>
      <c r="E38" s="713" t="s">
        <v>378</v>
      </c>
      <c r="F38" s="714"/>
      <c r="G38" s="714"/>
      <c r="H38" s="714"/>
      <c r="I38" s="714"/>
      <c r="J38" s="715"/>
      <c r="K38" s="720" t="s">
        <v>418</v>
      </c>
      <c r="L38" s="714"/>
      <c r="M38" s="714"/>
      <c r="N38" s="715"/>
      <c r="O38" s="98" t="s">
        <v>236</v>
      </c>
      <c r="P38" s="98" t="s">
        <v>328</v>
      </c>
      <c r="Q38" s="718" t="s">
        <v>332</v>
      </c>
      <c r="R38" s="719"/>
      <c r="S38" s="696"/>
      <c r="T38" s="95"/>
      <c r="U38" s="96"/>
      <c r="V38" s="658"/>
      <c r="W38" s="1">
        <v>700</v>
      </c>
      <c r="X38" s="292"/>
      <c r="Y38" s="288"/>
      <c r="Z38" s="288"/>
      <c r="AA38" s="288"/>
      <c r="AB38" s="288"/>
      <c r="AC38" s="288"/>
      <c r="AD38" s="288"/>
      <c r="AE38" s="288"/>
      <c r="AF38" s="288"/>
      <c r="AG38" s="288"/>
      <c r="AH38" s="288"/>
      <c r="AI38" s="288"/>
      <c r="AJ38" s="288"/>
      <c r="AK38" s="288"/>
      <c r="AL38" s="288"/>
      <c r="AM38" s="288"/>
      <c r="AN38" s="288"/>
      <c r="AO38" s="288"/>
      <c r="AP38" s="288"/>
      <c r="AQ38" s="89"/>
    </row>
    <row r="39" spans="1:43" ht="13.15" customHeight="1" x14ac:dyDescent="0.2">
      <c r="A39" s="26" t="s">
        <v>317</v>
      </c>
      <c r="B39" s="454"/>
      <c r="C39" s="29">
        <v>25</v>
      </c>
      <c r="D39" s="25">
        <v>600</v>
      </c>
      <c r="E39" s="561" t="s">
        <v>384</v>
      </c>
      <c r="F39" s="562"/>
      <c r="G39" s="562"/>
      <c r="H39" s="562"/>
      <c r="I39" s="562"/>
      <c r="J39" s="563"/>
      <c r="K39" s="564" t="s">
        <v>323</v>
      </c>
      <c r="L39" s="562"/>
      <c r="M39" s="562"/>
      <c r="N39" s="563"/>
      <c r="O39" s="97" t="s">
        <v>236</v>
      </c>
      <c r="P39" s="97" t="s">
        <v>246</v>
      </c>
      <c r="Q39" s="565" t="s">
        <v>306</v>
      </c>
      <c r="R39" s="576"/>
      <c r="S39" s="688" t="s">
        <v>357</v>
      </c>
      <c r="T39" s="689"/>
      <c r="U39" s="690"/>
      <c r="V39" s="658"/>
      <c r="W39" s="61">
        <v>800</v>
      </c>
      <c r="X39" s="288"/>
      <c r="Y39" s="288"/>
      <c r="Z39" s="288"/>
      <c r="AA39" s="288"/>
      <c r="AB39" s="288"/>
      <c r="AC39" s="288"/>
      <c r="AD39" s="288"/>
      <c r="AE39" s="288"/>
      <c r="AF39" s="288"/>
      <c r="AG39" s="288"/>
      <c r="AH39" s="288"/>
      <c r="AI39" s="288"/>
      <c r="AJ39" s="288"/>
      <c r="AK39" s="288"/>
      <c r="AL39" s="288"/>
      <c r="AM39" s="288"/>
      <c r="AN39" s="288"/>
      <c r="AO39" s="288"/>
      <c r="AP39" s="288"/>
      <c r="AQ39" s="89"/>
    </row>
    <row r="40" spans="1:43" ht="13.15" customHeight="1" x14ac:dyDescent="0.2">
      <c r="A40" s="19"/>
      <c r="B40" s="60"/>
      <c r="C40" s="24"/>
      <c r="D40" s="23"/>
      <c r="E40" s="155"/>
      <c r="F40" s="160"/>
      <c r="G40" s="160"/>
      <c r="H40" s="160"/>
      <c r="I40" s="160"/>
      <c r="J40" s="181"/>
      <c r="K40" s="182"/>
      <c r="L40" s="160"/>
      <c r="M40" s="160"/>
      <c r="N40" s="181"/>
      <c r="O40" s="98"/>
      <c r="P40" s="98"/>
      <c r="Q40" s="347"/>
      <c r="R40" s="348"/>
      <c r="S40" s="691"/>
      <c r="T40" s="692"/>
      <c r="U40" s="693"/>
      <c r="V40" s="658"/>
      <c r="W40">
        <v>900</v>
      </c>
      <c r="X40" s="288"/>
      <c r="Y40" s="288"/>
      <c r="Z40" s="288"/>
      <c r="AA40" s="288"/>
      <c r="AB40" s="288"/>
      <c r="AC40" s="288"/>
      <c r="AD40" s="288"/>
      <c r="AE40" s="288"/>
      <c r="AF40" s="288"/>
      <c r="AG40" s="288"/>
      <c r="AH40" s="288"/>
      <c r="AI40" s="288"/>
      <c r="AJ40" s="288"/>
      <c r="AK40" s="288"/>
      <c r="AL40" s="288"/>
      <c r="AM40" s="288"/>
      <c r="AN40" s="288"/>
      <c r="AO40" s="288"/>
      <c r="AP40" s="288"/>
      <c r="AQ40" s="89"/>
    </row>
    <row r="41" spans="1:43" ht="13.15" customHeight="1" x14ac:dyDescent="0.2">
      <c r="A41" s="20"/>
      <c r="B41" s="424"/>
      <c r="C41" s="28"/>
      <c r="D41" s="27"/>
      <c r="E41" s="320"/>
      <c r="F41" s="124"/>
      <c r="G41" s="124"/>
      <c r="H41" s="124"/>
      <c r="I41" s="124"/>
      <c r="J41" s="354"/>
      <c r="K41" s="321"/>
      <c r="L41" s="124"/>
      <c r="M41" s="124"/>
      <c r="N41" s="354"/>
      <c r="O41" s="110"/>
      <c r="P41" s="99"/>
      <c r="Q41" s="80"/>
      <c r="R41" s="80"/>
      <c r="S41" s="94"/>
      <c r="T41" s="95"/>
      <c r="U41" s="96"/>
      <c r="V41" s="21"/>
      <c r="X41">
        <v>15</v>
      </c>
      <c r="Y41" s="453" t="s">
        <v>642</v>
      </c>
      <c r="Z41">
        <v>25</v>
      </c>
      <c r="AA41" s="453" t="s">
        <v>643</v>
      </c>
      <c r="AB41">
        <v>40</v>
      </c>
      <c r="AC41">
        <v>50</v>
      </c>
      <c r="AD41" s="228" t="s">
        <v>295</v>
      </c>
      <c r="AE41">
        <v>80</v>
      </c>
      <c r="AF41">
        <v>100</v>
      </c>
      <c r="AG41" s="228" t="s">
        <v>296</v>
      </c>
      <c r="AH41">
        <v>150</v>
      </c>
      <c r="AI41">
        <v>200</v>
      </c>
      <c r="AJ41">
        <v>250</v>
      </c>
      <c r="AK41">
        <v>300</v>
      </c>
      <c r="AL41">
        <v>350</v>
      </c>
      <c r="AM41" s="2">
        <v>400</v>
      </c>
      <c r="AN41" s="2">
        <v>450</v>
      </c>
      <c r="AO41" s="2">
        <v>500</v>
      </c>
      <c r="AP41" s="2">
        <v>600</v>
      </c>
      <c r="AQ41" s="89"/>
    </row>
    <row r="42" spans="1:43" ht="13.15" customHeight="1" x14ac:dyDescent="0.2">
      <c r="A42" s="19" t="s">
        <v>215</v>
      </c>
      <c r="B42" s="60"/>
      <c r="C42" s="24">
        <v>15</v>
      </c>
      <c r="D42" s="24">
        <v>600</v>
      </c>
      <c r="E42" s="561" t="s">
        <v>247</v>
      </c>
      <c r="F42" s="562"/>
      <c r="G42" s="562"/>
      <c r="H42" s="562"/>
      <c r="I42" s="562"/>
      <c r="J42" s="563"/>
      <c r="K42" s="564" t="s">
        <v>536</v>
      </c>
      <c r="L42" s="562"/>
      <c r="M42" s="562"/>
      <c r="N42" s="563"/>
      <c r="O42" s="97" t="s">
        <v>236</v>
      </c>
      <c r="P42" s="97" t="s">
        <v>246</v>
      </c>
      <c r="Q42" s="565" t="s">
        <v>306</v>
      </c>
      <c r="R42" s="576"/>
      <c r="S42" s="109"/>
      <c r="T42" s="91"/>
      <c r="U42" s="92"/>
      <c r="V42" s="21"/>
      <c r="X42" s="659" t="s">
        <v>275</v>
      </c>
      <c r="Y42" s="660"/>
      <c r="Z42" s="660"/>
      <c r="AA42" s="660"/>
      <c r="AB42" s="660"/>
      <c r="AC42" s="660"/>
      <c r="AD42" s="660"/>
      <c r="AE42" s="660"/>
      <c r="AF42" s="660"/>
      <c r="AG42" s="660"/>
      <c r="AH42" s="660"/>
      <c r="AI42" s="660"/>
      <c r="AJ42" s="660"/>
      <c r="AK42" s="660"/>
      <c r="AL42" s="660"/>
      <c r="AM42" s="660"/>
      <c r="AN42" s="660"/>
      <c r="AO42" s="660"/>
      <c r="AP42" s="660"/>
      <c r="AQ42" s="89"/>
    </row>
    <row r="43" spans="1:43" ht="13.15" customHeight="1" x14ac:dyDescent="0.2">
      <c r="A43" s="19"/>
      <c r="B43" s="60"/>
      <c r="C43" s="24"/>
      <c r="D43" s="24"/>
      <c r="E43" s="155"/>
      <c r="F43" s="160"/>
      <c r="G43" s="160"/>
      <c r="H43" s="160"/>
      <c r="I43" s="160"/>
      <c r="J43" s="181"/>
      <c r="K43" s="182"/>
      <c r="L43" s="160"/>
      <c r="M43" s="160"/>
      <c r="N43" s="181"/>
      <c r="O43" s="98"/>
      <c r="P43" s="98"/>
      <c r="Q43" s="347"/>
      <c r="R43" s="161"/>
      <c r="S43" s="88"/>
      <c r="U43" s="89"/>
      <c r="V43" s="263"/>
      <c r="AA43" s="137"/>
      <c r="AB43" s="137"/>
      <c r="AC43" s="137"/>
      <c r="AD43" s="137"/>
      <c r="AE43" s="137"/>
      <c r="AQ43" s="89"/>
    </row>
    <row r="44" spans="1:43" ht="13.15" customHeight="1" x14ac:dyDescent="0.2">
      <c r="A44" s="20"/>
      <c r="B44" s="424"/>
      <c r="C44" s="28"/>
      <c r="D44" s="28"/>
      <c r="E44" s="320"/>
      <c r="F44" s="124"/>
      <c r="G44" s="124"/>
      <c r="H44" s="124"/>
      <c r="I44" s="124"/>
      <c r="J44" s="354"/>
      <c r="K44" s="321"/>
      <c r="L44" s="124"/>
      <c r="M44" s="124"/>
      <c r="N44" s="354"/>
      <c r="O44" s="110"/>
      <c r="P44" s="110"/>
      <c r="Q44" s="80"/>
      <c r="R44" s="80"/>
      <c r="S44" s="94"/>
      <c r="T44" s="95"/>
      <c r="U44" s="96"/>
      <c r="V44" s="263"/>
      <c r="AA44" s="137"/>
      <c r="AB44" s="137"/>
      <c r="AC44" s="137"/>
      <c r="AD44" s="137"/>
      <c r="AE44" s="137"/>
      <c r="AQ44" s="89"/>
    </row>
    <row r="45" spans="1:43" ht="13.15" customHeight="1" x14ac:dyDescent="0.2">
      <c r="A45" s="19" t="s">
        <v>214</v>
      </c>
      <c r="B45" s="60"/>
      <c r="C45" s="24">
        <v>15</v>
      </c>
      <c r="D45" s="24">
        <v>50</v>
      </c>
      <c r="E45" s="561" t="s">
        <v>481</v>
      </c>
      <c r="F45" s="716"/>
      <c r="G45" s="716"/>
      <c r="H45" s="716"/>
      <c r="I45" s="716"/>
      <c r="J45" s="717"/>
      <c r="K45" s="564" t="s">
        <v>318</v>
      </c>
      <c r="L45" s="716"/>
      <c r="M45" s="716"/>
      <c r="N45" s="717"/>
      <c r="O45" s="97" t="s">
        <v>341</v>
      </c>
      <c r="P45" s="97" t="s">
        <v>363</v>
      </c>
      <c r="Q45" s="565" t="s">
        <v>309</v>
      </c>
      <c r="R45" s="724"/>
      <c r="S45" s="109"/>
      <c r="T45" s="91"/>
      <c r="U45" s="92"/>
      <c r="V45" s="657" t="s">
        <v>274</v>
      </c>
      <c r="W45" s="118">
        <v>700</v>
      </c>
      <c r="X45" s="139"/>
      <c r="Y45" s="147"/>
      <c r="Z45" s="137"/>
      <c r="AA45" s="137"/>
      <c r="AB45" s="137"/>
      <c r="AC45" s="137"/>
      <c r="AD45" s="137"/>
      <c r="AE45" s="137"/>
      <c r="AQ45" s="89"/>
    </row>
    <row r="46" spans="1:43" ht="13.15" customHeight="1" x14ac:dyDescent="0.2">
      <c r="A46" s="19"/>
      <c r="B46" s="60"/>
      <c r="C46" s="24">
        <v>65</v>
      </c>
      <c r="D46" s="24">
        <v>600</v>
      </c>
      <c r="E46" s="583" t="s">
        <v>481</v>
      </c>
      <c r="F46" s="725"/>
      <c r="G46" s="725"/>
      <c r="H46" s="725"/>
      <c r="I46" s="725"/>
      <c r="J46" s="726"/>
      <c r="K46" s="584" t="s">
        <v>318</v>
      </c>
      <c r="L46" s="725"/>
      <c r="M46" s="725"/>
      <c r="N46" s="726"/>
      <c r="O46" s="98" t="s">
        <v>308</v>
      </c>
      <c r="P46" s="98" t="s">
        <v>363</v>
      </c>
      <c r="Q46" s="585" t="s">
        <v>309</v>
      </c>
      <c r="R46" s="727"/>
      <c r="S46" s="88"/>
      <c r="U46" s="89"/>
      <c r="V46" s="658"/>
      <c r="W46" s="1">
        <v>800</v>
      </c>
      <c r="X46" s="139"/>
      <c r="Y46" s="139"/>
      <c r="Z46" s="137"/>
      <c r="AA46"/>
      <c r="AB46"/>
      <c r="AQ46" s="89"/>
    </row>
    <row r="47" spans="1:43" ht="13.15" customHeight="1" x14ac:dyDescent="0.2">
      <c r="A47" s="19"/>
      <c r="B47" s="60"/>
      <c r="C47" s="28">
        <v>450</v>
      </c>
      <c r="D47" s="27">
        <v>600</v>
      </c>
      <c r="E47" s="713" t="s">
        <v>481</v>
      </c>
      <c r="F47" s="714"/>
      <c r="G47" s="714"/>
      <c r="H47" s="714"/>
      <c r="I47" s="714"/>
      <c r="J47" s="715"/>
      <c r="K47" s="720" t="s">
        <v>686</v>
      </c>
      <c r="L47" s="714"/>
      <c r="M47" s="714"/>
      <c r="N47" s="715"/>
      <c r="O47" s="110" t="s">
        <v>308</v>
      </c>
      <c r="P47" s="110" t="s">
        <v>363</v>
      </c>
      <c r="Q47" s="718" t="s">
        <v>309</v>
      </c>
      <c r="R47" s="719"/>
      <c r="S47" s="739" t="s">
        <v>687</v>
      </c>
      <c r="T47" s="555"/>
      <c r="U47" s="96"/>
      <c r="V47" s="658"/>
      <c r="W47" s="1">
        <v>900</v>
      </c>
      <c r="X47" s="139"/>
      <c r="Y47" s="139"/>
      <c r="Z47" s="139"/>
      <c r="AQ47" s="89"/>
    </row>
    <row r="48" spans="1:43" ht="13.15" customHeight="1" x14ac:dyDescent="0.2">
      <c r="A48" s="26" t="s">
        <v>213</v>
      </c>
      <c r="B48" s="435"/>
      <c r="C48" s="24">
        <v>15</v>
      </c>
      <c r="D48" s="24">
        <v>50</v>
      </c>
      <c r="E48" s="561" t="s">
        <v>482</v>
      </c>
      <c r="F48" s="716"/>
      <c r="G48" s="716"/>
      <c r="H48" s="716"/>
      <c r="I48" s="716"/>
      <c r="J48" s="717"/>
      <c r="K48" s="564" t="s">
        <v>319</v>
      </c>
      <c r="L48" s="716"/>
      <c r="M48" s="716"/>
      <c r="N48" s="717"/>
      <c r="O48" s="97" t="s">
        <v>341</v>
      </c>
      <c r="P48" s="97" t="s">
        <v>248</v>
      </c>
      <c r="Q48" s="565" t="s">
        <v>309</v>
      </c>
      <c r="R48" s="724"/>
      <c r="S48" s="109"/>
      <c r="T48" s="91"/>
      <c r="U48" s="92"/>
      <c r="V48" s="658"/>
      <c r="W48"/>
      <c r="X48">
        <v>700</v>
      </c>
      <c r="Y48">
        <v>800</v>
      </c>
      <c r="Z48">
        <v>900</v>
      </c>
      <c r="AA48"/>
      <c r="AB48"/>
      <c r="AC48"/>
      <c r="AD48"/>
      <c r="AE48"/>
      <c r="AQ48" s="89"/>
    </row>
    <row r="49" spans="1:43" ht="13.15" customHeight="1" x14ac:dyDescent="0.2">
      <c r="A49" s="19"/>
      <c r="B49" s="60"/>
      <c r="C49" s="24">
        <v>65</v>
      </c>
      <c r="D49" s="24">
        <v>600</v>
      </c>
      <c r="E49" s="583" t="s">
        <v>482</v>
      </c>
      <c r="F49" s="725"/>
      <c r="G49" s="725"/>
      <c r="H49" s="725"/>
      <c r="I49" s="725"/>
      <c r="J49" s="726"/>
      <c r="K49" s="584" t="s">
        <v>319</v>
      </c>
      <c r="L49" s="725"/>
      <c r="M49" s="725"/>
      <c r="N49" s="726"/>
      <c r="O49" s="98" t="s">
        <v>308</v>
      </c>
      <c r="P49" s="98" t="s">
        <v>248</v>
      </c>
      <c r="Q49" s="585" t="s">
        <v>309</v>
      </c>
      <c r="R49" s="727"/>
      <c r="S49" s="88"/>
      <c r="U49" s="89"/>
      <c r="V49" s="21"/>
      <c r="W49"/>
      <c r="X49" s="659" t="s">
        <v>275</v>
      </c>
      <c r="Y49" s="660"/>
      <c r="Z49" s="660"/>
      <c r="AA49" s="289"/>
      <c r="AB49" s="289"/>
      <c r="AC49" s="289"/>
      <c r="AD49" s="289"/>
      <c r="AE49" s="137"/>
      <c r="AQ49" s="89"/>
    </row>
    <row r="50" spans="1:43" ht="13.15" customHeight="1" x14ac:dyDescent="0.2">
      <c r="A50" s="20"/>
      <c r="B50" s="424"/>
      <c r="C50" s="28"/>
      <c r="D50" s="28"/>
      <c r="E50" s="320"/>
      <c r="F50" s="124"/>
      <c r="G50" s="124"/>
      <c r="H50" s="124"/>
      <c r="I50" s="124"/>
      <c r="J50" s="354"/>
      <c r="K50" s="321"/>
      <c r="L50" s="124"/>
      <c r="M50" s="124"/>
      <c r="N50" s="124"/>
      <c r="O50" s="110"/>
      <c r="P50" s="110"/>
      <c r="Q50" s="80"/>
      <c r="R50" s="80"/>
      <c r="S50" s="94"/>
      <c r="T50" s="95"/>
      <c r="U50" s="96"/>
      <c r="V50" s="21"/>
      <c r="AQ50" s="89"/>
    </row>
    <row r="51" spans="1:43" ht="13.15" customHeight="1" x14ac:dyDescent="0.2">
      <c r="A51" s="19" t="s">
        <v>264</v>
      </c>
      <c r="B51" s="60"/>
      <c r="C51" s="24" t="s">
        <v>313</v>
      </c>
      <c r="D51" s="24" t="s">
        <v>314</v>
      </c>
      <c r="E51" s="561" t="s">
        <v>310</v>
      </c>
      <c r="F51" s="562"/>
      <c r="G51" s="562"/>
      <c r="H51" s="562"/>
      <c r="I51" s="562"/>
      <c r="J51" s="563"/>
      <c r="K51" s="564" t="s">
        <v>655</v>
      </c>
      <c r="L51" s="728"/>
      <c r="M51" s="728"/>
      <c r="N51" s="729"/>
      <c r="O51" s="97" t="s">
        <v>656</v>
      </c>
      <c r="P51" s="97" t="s">
        <v>257</v>
      </c>
      <c r="Q51" s="565" t="s">
        <v>311</v>
      </c>
      <c r="R51" s="724"/>
      <c r="S51" s="109"/>
      <c r="T51" s="91"/>
      <c r="U51" s="92"/>
      <c r="V51" s="290"/>
      <c r="AQ51" s="89"/>
    </row>
    <row r="52" spans="1:43" ht="13.15" customHeight="1" x14ac:dyDescent="0.2">
      <c r="A52" s="20"/>
      <c r="B52" s="424"/>
      <c r="C52" s="28"/>
      <c r="D52" s="28"/>
      <c r="E52" s="713"/>
      <c r="F52" s="714"/>
      <c r="G52" s="714"/>
      <c r="H52" s="714"/>
      <c r="I52" s="714"/>
      <c r="J52" s="715"/>
      <c r="K52" s="720"/>
      <c r="L52" s="714"/>
      <c r="M52" s="714"/>
      <c r="N52" s="715"/>
      <c r="O52" s="146"/>
      <c r="P52" s="146"/>
      <c r="Q52" s="746"/>
      <c r="R52" s="719"/>
      <c r="S52" s="93"/>
      <c r="U52" s="89"/>
      <c r="V52" s="21"/>
      <c r="AQ52" s="89"/>
    </row>
    <row r="53" spans="1:43" ht="13.15" customHeight="1" x14ac:dyDescent="0.2">
      <c r="A53" s="19" t="s">
        <v>212</v>
      </c>
      <c r="B53" s="60"/>
      <c r="C53" s="24" t="s">
        <v>313</v>
      </c>
      <c r="D53" s="24" t="s">
        <v>314</v>
      </c>
      <c r="E53" s="561" t="s">
        <v>315</v>
      </c>
      <c r="F53" s="562"/>
      <c r="G53" s="562"/>
      <c r="H53" s="562"/>
      <c r="I53" s="562"/>
      <c r="J53" s="563"/>
      <c r="K53" s="564" t="s">
        <v>655</v>
      </c>
      <c r="L53" s="728"/>
      <c r="M53" s="728"/>
      <c r="N53" s="729"/>
      <c r="O53" s="97" t="s">
        <v>656</v>
      </c>
      <c r="P53" s="97" t="s">
        <v>257</v>
      </c>
      <c r="Q53" s="565" t="s">
        <v>316</v>
      </c>
      <c r="R53" s="724"/>
      <c r="S53" s="109"/>
      <c r="T53" s="91"/>
      <c r="U53" s="92"/>
      <c r="V53" s="21"/>
      <c r="AQ53" s="89"/>
    </row>
    <row r="54" spans="1:43" ht="13.15" customHeight="1" x14ac:dyDescent="0.2">
      <c r="A54" s="20"/>
      <c r="B54" s="424"/>
      <c r="C54" s="28"/>
      <c r="D54" s="28"/>
      <c r="E54" s="713"/>
      <c r="F54" s="714"/>
      <c r="G54" s="714"/>
      <c r="H54" s="714"/>
      <c r="I54" s="714"/>
      <c r="J54" s="715"/>
      <c r="K54" s="720"/>
      <c r="L54" s="714"/>
      <c r="M54" s="714"/>
      <c r="N54" s="715"/>
      <c r="O54" s="110"/>
      <c r="P54" s="110"/>
      <c r="Q54" s="718"/>
      <c r="R54" s="719"/>
      <c r="S54" s="369"/>
      <c r="T54" s="95"/>
      <c r="U54" s="96"/>
      <c r="V54" s="21"/>
      <c r="W54" s="310"/>
      <c r="X54" s="310"/>
      <c r="Y54" s="311"/>
      <c r="Z54" s="311"/>
      <c r="AA54" s="311"/>
      <c r="AB54" s="311"/>
      <c r="AC54" s="311"/>
      <c r="AD54" s="311"/>
      <c r="AE54" s="310"/>
      <c r="AF54" s="311"/>
      <c r="AG54" s="311"/>
      <c r="AH54" s="311"/>
      <c r="AI54" s="310"/>
      <c r="AJ54" s="310"/>
      <c r="AK54" s="310"/>
      <c r="AL54" s="311"/>
      <c r="AM54" s="310"/>
      <c r="AN54" s="161"/>
      <c r="AO54" s="161"/>
      <c r="AP54" s="311"/>
      <c r="AQ54" s="89"/>
    </row>
    <row r="55" spans="1:43" ht="13.15" customHeight="1" x14ac:dyDescent="0.2">
      <c r="A55" s="19" t="s">
        <v>211</v>
      </c>
      <c r="B55" s="60"/>
      <c r="C55" s="29">
        <v>15</v>
      </c>
      <c r="D55" s="25">
        <v>600</v>
      </c>
      <c r="E55" s="561" t="s">
        <v>273</v>
      </c>
      <c r="F55" s="562"/>
      <c r="G55" s="562"/>
      <c r="H55" s="562"/>
      <c r="I55" s="562"/>
      <c r="J55" s="563"/>
      <c r="K55" s="564" t="s">
        <v>667</v>
      </c>
      <c r="L55" s="562"/>
      <c r="M55" s="730" t="s">
        <v>272</v>
      </c>
      <c r="N55" s="563"/>
      <c r="O55" s="97" t="s">
        <v>656</v>
      </c>
      <c r="P55" s="97"/>
      <c r="Q55" s="565" t="s">
        <v>312</v>
      </c>
      <c r="R55" s="576"/>
      <c r="S55" s="109" t="s">
        <v>666</v>
      </c>
      <c r="T55" s="356"/>
      <c r="U55" s="368"/>
      <c r="V55" s="21"/>
      <c r="W55" s="624" t="s">
        <v>259</v>
      </c>
      <c r="X55" s="551" t="s">
        <v>197</v>
      </c>
      <c r="Y55" s="552"/>
      <c r="Z55" s="552"/>
      <c r="AA55" s="552"/>
      <c r="AB55" s="552"/>
      <c r="AC55" s="552"/>
      <c r="AD55" s="553"/>
      <c r="AE55" s="557" t="s">
        <v>241</v>
      </c>
      <c r="AF55" s="552"/>
      <c r="AG55" s="552"/>
      <c r="AH55" s="553"/>
      <c r="AI55" s="559" t="s">
        <v>243</v>
      </c>
      <c r="AJ55" s="559" t="s">
        <v>242</v>
      </c>
      <c r="AK55" s="557" t="s">
        <v>244</v>
      </c>
      <c r="AL55" s="553"/>
      <c r="AM55" s="557" t="s">
        <v>245</v>
      </c>
      <c r="AN55" s="626"/>
      <c r="AO55" s="626"/>
      <c r="AP55" s="627"/>
      <c r="AQ55" s="89"/>
    </row>
    <row r="56" spans="1:43" ht="13.15" customHeight="1" x14ac:dyDescent="0.2">
      <c r="A56" s="19"/>
      <c r="B56" s="60"/>
      <c r="C56" s="23">
        <v>15</v>
      </c>
      <c r="D56" s="23">
        <v>600</v>
      </c>
      <c r="E56" s="583" t="s">
        <v>251</v>
      </c>
      <c r="F56" s="600"/>
      <c r="G56" s="600"/>
      <c r="H56" s="600"/>
      <c r="I56" s="600"/>
      <c r="J56" s="601"/>
      <c r="K56" s="584" t="s">
        <v>665</v>
      </c>
      <c r="L56" s="549"/>
      <c r="M56" s="731" t="s">
        <v>747</v>
      </c>
      <c r="N56" s="543"/>
      <c r="O56" s="98" t="s">
        <v>656</v>
      </c>
      <c r="P56" s="98"/>
      <c r="Q56" s="585" t="s">
        <v>312</v>
      </c>
      <c r="R56" s="615"/>
      <c r="S56" s="514" t="s">
        <v>664</v>
      </c>
      <c r="T56" s="515"/>
      <c r="U56" s="510"/>
      <c r="V56" s="21"/>
      <c r="W56" s="625"/>
      <c r="X56" s="554"/>
      <c r="Y56" s="555"/>
      <c r="Z56" s="555"/>
      <c r="AA56" s="555"/>
      <c r="AB56" s="555"/>
      <c r="AC56" s="555"/>
      <c r="AD56" s="556"/>
      <c r="AE56" s="558"/>
      <c r="AF56" s="555"/>
      <c r="AG56" s="555"/>
      <c r="AH56" s="556"/>
      <c r="AI56" s="560"/>
      <c r="AJ56" s="560"/>
      <c r="AK56" s="558"/>
      <c r="AL56" s="556"/>
      <c r="AM56" s="628"/>
      <c r="AN56" s="586"/>
      <c r="AO56" s="586"/>
      <c r="AP56" s="629"/>
      <c r="AQ56" s="89"/>
    </row>
    <row r="57" spans="1:43" ht="13.15" customHeight="1" x14ac:dyDescent="0.2">
      <c r="A57" s="19"/>
      <c r="B57" s="60"/>
      <c r="C57" s="28">
        <v>15</v>
      </c>
      <c r="D57" s="27">
        <v>600</v>
      </c>
      <c r="E57" s="122" t="s">
        <v>263</v>
      </c>
      <c r="F57" s="449"/>
      <c r="G57" s="449"/>
      <c r="H57" s="449"/>
      <c r="I57" s="449"/>
      <c r="J57" s="450"/>
      <c r="K57" s="740" t="s">
        <v>724</v>
      </c>
      <c r="L57" s="714"/>
      <c r="M57" s="509" t="s">
        <v>748</v>
      </c>
      <c r="N57" s="512"/>
      <c r="O57" s="110" t="s">
        <v>656</v>
      </c>
      <c r="P57" s="146"/>
      <c r="Q57" s="718" t="s">
        <v>339</v>
      </c>
      <c r="R57" s="719"/>
      <c r="S57" s="369" t="s">
        <v>669</v>
      </c>
      <c r="T57" s="95"/>
      <c r="U57" s="96"/>
      <c r="V57" s="21"/>
      <c r="W57" s="127" t="s">
        <v>390</v>
      </c>
      <c r="X57" s="630" t="s">
        <v>349</v>
      </c>
      <c r="Y57" s="552"/>
      <c r="Z57" s="552"/>
      <c r="AA57" s="552"/>
      <c r="AB57" s="552"/>
      <c r="AC57" s="552"/>
      <c r="AD57" s="553"/>
      <c r="AE57" s="572">
        <v>1.0345</v>
      </c>
      <c r="AF57" s="573"/>
      <c r="AG57" s="573"/>
      <c r="AH57" s="574"/>
      <c r="AI57" s="125" t="s">
        <v>236</v>
      </c>
      <c r="AJ57" s="125" t="s">
        <v>246</v>
      </c>
      <c r="AK57" s="575" t="s">
        <v>348</v>
      </c>
      <c r="AL57" s="576"/>
      <c r="AM57" s="90"/>
      <c r="AN57" s="91"/>
      <c r="AO57" s="91"/>
      <c r="AP57" s="129"/>
      <c r="AQ57" s="89"/>
    </row>
    <row r="58" spans="1:43" ht="13.15" customHeight="1" x14ac:dyDescent="0.2">
      <c r="A58" s="375" t="s">
        <v>547</v>
      </c>
      <c r="B58" s="462"/>
      <c r="C58" s="376"/>
      <c r="D58" s="376"/>
      <c r="E58" s="587"/>
      <c r="F58" s="588"/>
      <c r="G58" s="588"/>
      <c r="H58" s="588"/>
      <c r="I58" s="588"/>
      <c r="J58" s="589"/>
      <c r="K58" s="590"/>
      <c r="L58" s="588"/>
      <c r="M58" s="588"/>
      <c r="N58" s="589"/>
      <c r="O58" s="377"/>
      <c r="P58" s="377"/>
      <c r="Q58" s="591" t="s">
        <v>549</v>
      </c>
      <c r="R58" s="592"/>
      <c r="S58" s="378"/>
      <c r="T58" s="379"/>
      <c r="U58" s="380"/>
      <c r="V58" s="21"/>
      <c r="W58" s="128" t="s">
        <v>391</v>
      </c>
      <c r="X58" s="546" t="s">
        <v>350</v>
      </c>
      <c r="Y58" s="547"/>
      <c r="Z58" s="547"/>
      <c r="AA58" s="547"/>
      <c r="AB58" s="547"/>
      <c r="AC58" s="547"/>
      <c r="AD58" s="548"/>
      <c r="AE58" s="541">
        <v>1.0345</v>
      </c>
      <c r="AF58" s="542"/>
      <c r="AG58" s="542"/>
      <c r="AH58" s="543"/>
      <c r="AI58" s="126" t="s">
        <v>236</v>
      </c>
      <c r="AJ58" s="126" t="s">
        <v>246</v>
      </c>
      <c r="AK58" s="544" t="s">
        <v>348</v>
      </c>
      <c r="AL58" s="545"/>
      <c r="AM58" s="88"/>
      <c r="AP58" s="130"/>
      <c r="AQ58" s="89"/>
    </row>
    <row r="59" spans="1:43" ht="13.15" customHeight="1" x14ac:dyDescent="0.2">
      <c r="A59" s="26" t="s">
        <v>278</v>
      </c>
      <c r="B59" s="60"/>
      <c r="C59" s="24" t="s">
        <v>210</v>
      </c>
      <c r="D59" s="25">
        <v>50</v>
      </c>
      <c r="E59" s="561" t="s">
        <v>507</v>
      </c>
      <c r="F59" s="595"/>
      <c r="G59" s="595"/>
      <c r="H59" s="595"/>
      <c r="I59" s="595"/>
      <c r="J59" s="596"/>
      <c r="K59" s="597" t="s">
        <v>450</v>
      </c>
      <c r="L59" s="598"/>
      <c r="M59" s="598"/>
      <c r="N59" s="599"/>
      <c r="O59" s="97" t="s">
        <v>341</v>
      </c>
      <c r="P59" s="97" t="s">
        <v>283</v>
      </c>
      <c r="Q59" s="565" t="s">
        <v>266</v>
      </c>
      <c r="R59" s="566"/>
      <c r="S59" s="90"/>
      <c r="T59" s="91"/>
      <c r="U59" s="92"/>
      <c r="V59" s="21"/>
      <c r="W59" s="128" t="s">
        <v>345</v>
      </c>
      <c r="X59" s="546" t="s">
        <v>431</v>
      </c>
      <c r="Y59" s="547"/>
      <c r="Z59" s="547"/>
      <c r="AA59" s="547"/>
      <c r="AB59" s="547"/>
      <c r="AC59" s="547"/>
      <c r="AD59" s="548"/>
      <c r="AE59" s="541" t="s">
        <v>408</v>
      </c>
      <c r="AF59" s="542"/>
      <c r="AG59" s="542"/>
      <c r="AH59" s="543"/>
      <c r="AI59" s="126" t="s">
        <v>236</v>
      </c>
      <c r="AJ59" s="126" t="s">
        <v>328</v>
      </c>
      <c r="AK59" s="544" t="s">
        <v>347</v>
      </c>
      <c r="AL59" s="545"/>
      <c r="AM59" s="88"/>
      <c r="AP59" s="130"/>
      <c r="AQ59" s="89"/>
    </row>
    <row r="60" spans="1:43" ht="13.15" customHeight="1" x14ac:dyDescent="0.2">
      <c r="A60" s="178" t="s">
        <v>279</v>
      </c>
      <c r="B60" s="374"/>
      <c r="C60" s="24">
        <v>80</v>
      </c>
      <c r="D60" s="23">
        <v>400</v>
      </c>
      <c r="E60" s="583" t="s">
        <v>508</v>
      </c>
      <c r="F60" s="600"/>
      <c r="G60" s="600"/>
      <c r="H60" s="600"/>
      <c r="I60" s="600"/>
      <c r="J60" s="601"/>
      <c r="K60" s="616" t="s">
        <v>450</v>
      </c>
      <c r="L60" s="617"/>
      <c r="M60" s="617"/>
      <c r="N60" s="618"/>
      <c r="O60" s="98" t="s">
        <v>308</v>
      </c>
      <c r="P60" s="98" t="s">
        <v>283</v>
      </c>
      <c r="Q60" s="585" t="s">
        <v>266</v>
      </c>
      <c r="R60" s="615"/>
      <c r="S60" s="88"/>
      <c r="U60" s="89"/>
      <c r="V60" s="21"/>
      <c r="W60" s="128" t="s">
        <v>346</v>
      </c>
      <c r="X60" s="546" t="s">
        <v>432</v>
      </c>
      <c r="Y60" s="547"/>
      <c r="Z60" s="547"/>
      <c r="AA60" s="547"/>
      <c r="AB60" s="547"/>
      <c r="AC60" s="547"/>
      <c r="AD60" s="548"/>
      <c r="AE60" s="541" t="s">
        <v>408</v>
      </c>
      <c r="AF60" s="542"/>
      <c r="AG60" s="542"/>
      <c r="AH60" s="543"/>
      <c r="AI60" s="126" t="s">
        <v>236</v>
      </c>
      <c r="AJ60" s="126" t="s">
        <v>328</v>
      </c>
      <c r="AK60" s="544" t="s">
        <v>347</v>
      </c>
      <c r="AL60" s="545"/>
      <c r="AM60" s="329" t="s">
        <v>631</v>
      </c>
      <c r="AP60" s="130"/>
      <c r="AQ60" s="89"/>
    </row>
    <row r="61" spans="1:43" ht="13.15" customHeight="1" x14ac:dyDescent="0.2">
      <c r="A61" s="178" t="s">
        <v>280</v>
      </c>
      <c r="B61" s="374"/>
      <c r="C61" s="24">
        <v>500</v>
      </c>
      <c r="D61" s="23" t="s">
        <v>277</v>
      </c>
      <c r="E61" s="619" t="s">
        <v>509</v>
      </c>
      <c r="F61" s="620"/>
      <c r="G61" s="620"/>
      <c r="H61" s="620"/>
      <c r="I61" s="620"/>
      <c r="J61" s="621"/>
      <c r="K61" s="567" t="s">
        <v>450</v>
      </c>
      <c r="L61" s="568"/>
      <c r="M61" s="568"/>
      <c r="N61" s="569"/>
      <c r="O61" s="156" t="s">
        <v>308</v>
      </c>
      <c r="P61" s="156" t="s">
        <v>283</v>
      </c>
      <c r="Q61" s="570" t="s">
        <v>266</v>
      </c>
      <c r="R61" s="571"/>
      <c r="S61" s="88"/>
      <c r="U61" s="89"/>
      <c r="V61" s="21"/>
      <c r="W61" s="128" t="s">
        <v>328</v>
      </c>
      <c r="X61" s="546" t="s">
        <v>395</v>
      </c>
      <c r="Y61" s="547"/>
      <c r="Z61" s="547"/>
      <c r="AA61" s="547"/>
      <c r="AB61" s="547"/>
      <c r="AC61" s="547"/>
      <c r="AD61" s="548"/>
      <c r="AE61" s="541" t="s">
        <v>417</v>
      </c>
      <c r="AF61" s="542"/>
      <c r="AG61" s="542"/>
      <c r="AH61" s="543"/>
      <c r="AI61" s="126" t="s">
        <v>236</v>
      </c>
      <c r="AJ61" s="126" t="s">
        <v>328</v>
      </c>
      <c r="AK61" s="544" t="s">
        <v>347</v>
      </c>
      <c r="AL61" s="545"/>
      <c r="AM61" s="329" t="s">
        <v>631</v>
      </c>
      <c r="AP61" s="130"/>
      <c r="AQ61" s="89"/>
    </row>
    <row r="62" spans="1:43" ht="13.15" customHeight="1" x14ac:dyDescent="0.2">
      <c r="A62" s="178" t="s">
        <v>281</v>
      </c>
      <c r="B62" s="374"/>
      <c r="C62" s="24"/>
      <c r="D62" s="23"/>
      <c r="E62" s="155"/>
      <c r="F62" s="80"/>
      <c r="G62" s="80"/>
      <c r="H62" s="80"/>
      <c r="I62" s="80"/>
      <c r="J62" s="80"/>
      <c r="K62" s="80"/>
      <c r="L62" s="80"/>
      <c r="M62" s="80"/>
      <c r="N62" s="80"/>
      <c r="O62" s="80"/>
      <c r="P62" s="80"/>
      <c r="Q62" s="80"/>
      <c r="R62" s="80"/>
      <c r="S62" s="88"/>
      <c r="U62" s="89"/>
      <c r="V62" s="21"/>
      <c r="W62" s="128"/>
      <c r="X62" s="260"/>
      <c r="Y62" s="160"/>
      <c r="Z62" s="160"/>
      <c r="AA62" s="160"/>
      <c r="AB62" s="160"/>
      <c r="AE62" s="541"/>
      <c r="AF62" s="542"/>
      <c r="AG62" s="542"/>
      <c r="AH62" s="543"/>
      <c r="AI62" s="126"/>
      <c r="AJ62" s="126"/>
      <c r="AK62" s="544"/>
      <c r="AL62" s="545"/>
      <c r="AM62" s="88"/>
      <c r="AP62" s="130"/>
      <c r="AQ62" s="89"/>
    </row>
    <row r="63" spans="1:43" ht="13.15" customHeight="1" x14ac:dyDescent="0.2">
      <c r="A63" s="178" t="s">
        <v>282</v>
      </c>
      <c r="B63" s="374"/>
      <c r="C63" s="23"/>
      <c r="D63" s="22"/>
      <c r="E63" s="155"/>
      <c r="F63" s="80"/>
      <c r="G63" s="80"/>
      <c r="H63" s="80"/>
      <c r="I63" s="80"/>
      <c r="J63" s="80"/>
      <c r="K63" s="80"/>
      <c r="L63" s="80"/>
      <c r="M63" s="80"/>
      <c r="N63" s="80"/>
      <c r="O63" s="80"/>
      <c r="P63" s="80"/>
      <c r="Q63" s="80"/>
      <c r="R63" s="80"/>
      <c r="S63" s="94"/>
      <c r="T63" s="95"/>
      <c r="U63" s="96"/>
      <c r="V63" s="21"/>
      <c r="W63" s="132"/>
      <c r="X63" s="94"/>
      <c r="Y63" s="95"/>
      <c r="Z63" s="95"/>
      <c r="AA63" s="95"/>
      <c r="AB63" s="95"/>
      <c r="AC63" s="95"/>
      <c r="AD63" s="133"/>
      <c r="AE63" s="134"/>
      <c r="AF63" s="95"/>
      <c r="AG63" s="95"/>
      <c r="AH63" s="133"/>
      <c r="AI63" s="135"/>
      <c r="AJ63" s="135"/>
      <c r="AK63" s="134"/>
      <c r="AL63" s="131"/>
      <c r="AM63" s="95"/>
      <c r="AN63" s="95"/>
      <c r="AO63" s="95"/>
      <c r="AP63" s="131"/>
      <c r="AQ63" s="89"/>
    </row>
    <row r="64" spans="1:43" ht="13.15" customHeight="1" x14ac:dyDescent="0.2">
      <c r="A64" s="741" t="s">
        <v>646</v>
      </c>
      <c r="B64" s="742"/>
      <c r="C64" s="689"/>
      <c r="D64" s="689"/>
      <c r="E64" s="689"/>
      <c r="F64" s="689"/>
      <c r="G64" s="689"/>
      <c r="H64" s="689"/>
      <c r="I64" s="689"/>
      <c r="J64" s="689"/>
      <c r="K64" s="689"/>
      <c r="L64" s="689"/>
      <c r="M64" s="689"/>
      <c r="N64" s="689"/>
      <c r="O64" s="689"/>
      <c r="P64" s="689"/>
      <c r="Q64" s="689"/>
      <c r="R64" s="743"/>
      <c r="S64" s="327" t="s">
        <v>479</v>
      </c>
      <c r="T64" s="91"/>
      <c r="U64" s="92"/>
      <c r="V64" s="21"/>
      <c r="AQ64" s="89"/>
    </row>
    <row r="65" spans="1:43" ht="13.15" customHeight="1" x14ac:dyDescent="0.2">
      <c r="A65" s="744"/>
      <c r="B65" s="692"/>
      <c r="C65" s="692"/>
      <c r="D65" s="692"/>
      <c r="E65" s="692"/>
      <c r="F65" s="692"/>
      <c r="G65" s="692"/>
      <c r="H65" s="692"/>
      <c r="I65" s="692"/>
      <c r="J65" s="692"/>
      <c r="K65" s="692"/>
      <c r="L65" s="692"/>
      <c r="M65" s="692"/>
      <c r="N65" s="692"/>
      <c r="O65" s="692"/>
      <c r="P65" s="692"/>
      <c r="Q65" s="692"/>
      <c r="R65" s="745"/>
      <c r="S65" s="93" t="s">
        <v>480</v>
      </c>
      <c r="U65" s="89"/>
      <c r="V65" s="21"/>
      <c r="AQ65" s="89"/>
    </row>
    <row r="66" spans="1:43" ht="13.15" customHeight="1" x14ac:dyDescent="0.2">
      <c r="A66" s="744"/>
      <c r="B66" s="692"/>
      <c r="C66" s="692"/>
      <c r="D66" s="692"/>
      <c r="E66" s="692"/>
      <c r="F66" s="692"/>
      <c r="G66" s="692"/>
      <c r="H66" s="692"/>
      <c r="I66" s="692"/>
      <c r="J66" s="692"/>
      <c r="K66" s="692"/>
      <c r="L66" s="692"/>
      <c r="M66" s="692"/>
      <c r="N66" s="692"/>
      <c r="O66" s="692"/>
      <c r="P66" s="692"/>
      <c r="Q66" s="692"/>
      <c r="R66" s="745"/>
      <c r="S66" s="93" t="s">
        <v>486</v>
      </c>
      <c r="U66" s="89"/>
      <c r="V66" s="21"/>
      <c r="AQ66" s="89"/>
    </row>
    <row r="67" spans="1:43" ht="13.15" customHeight="1" x14ac:dyDescent="0.2">
      <c r="A67" s="744"/>
      <c r="B67" s="692"/>
      <c r="C67" s="692"/>
      <c r="D67" s="692"/>
      <c r="E67" s="692"/>
      <c r="F67" s="692"/>
      <c r="G67" s="692"/>
      <c r="H67" s="692"/>
      <c r="I67" s="692"/>
      <c r="J67" s="692"/>
      <c r="K67" s="692"/>
      <c r="L67" s="692"/>
      <c r="M67" s="692"/>
      <c r="N67" s="692"/>
      <c r="O67" s="692"/>
      <c r="P67" s="692"/>
      <c r="Q67" s="692"/>
      <c r="R67" s="745"/>
      <c r="S67" s="93" t="s">
        <v>487</v>
      </c>
      <c r="U67" s="89"/>
      <c r="V67" s="21"/>
      <c r="AQ67" s="89"/>
    </row>
    <row r="68" spans="1:43" ht="13.15" customHeight="1" x14ac:dyDescent="0.2">
      <c r="A68" s="744"/>
      <c r="B68" s="692"/>
      <c r="C68" s="692"/>
      <c r="D68" s="692"/>
      <c r="E68" s="692"/>
      <c r="F68" s="692"/>
      <c r="G68" s="692"/>
      <c r="H68" s="692"/>
      <c r="I68" s="692"/>
      <c r="J68" s="692"/>
      <c r="K68" s="692"/>
      <c r="L68" s="692"/>
      <c r="M68" s="692"/>
      <c r="N68" s="692"/>
      <c r="O68" s="692"/>
      <c r="P68" s="692"/>
      <c r="Q68" s="692"/>
      <c r="R68" s="745"/>
      <c r="S68" s="93" t="s">
        <v>488</v>
      </c>
      <c r="U68" s="89"/>
      <c r="V68" s="21"/>
      <c r="AQ68" s="89"/>
    </row>
    <row r="69" spans="1:43" ht="13.15" customHeight="1" x14ac:dyDescent="0.2">
      <c r="A69" s="744"/>
      <c r="B69" s="692"/>
      <c r="C69" s="692"/>
      <c r="D69" s="692"/>
      <c r="E69" s="692"/>
      <c r="F69" s="692"/>
      <c r="G69" s="692"/>
      <c r="H69" s="692"/>
      <c r="I69" s="692"/>
      <c r="J69" s="692"/>
      <c r="K69" s="692"/>
      <c r="L69" s="692"/>
      <c r="M69" s="692"/>
      <c r="N69" s="692"/>
      <c r="O69" s="692"/>
      <c r="P69" s="692"/>
      <c r="Q69" s="692"/>
      <c r="R69" s="745"/>
      <c r="S69" s="60" t="s">
        <v>499</v>
      </c>
      <c r="U69" s="89"/>
      <c r="V69" s="21"/>
      <c r="AQ69" s="89"/>
    </row>
    <row r="70" spans="1:43" ht="13.15" customHeight="1" x14ac:dyDescent="0.2">
      <c r="A70" s="622" t="s">
        <v>535</v>
      </c>
      <c r="B70" s="623"/>
      <c r="C70" s="623"/>
      <c r="D70" s="623"/>
      <c r="E70" s="623"/>
      <c r="F70" s="623"/>
      <c r="G70" s="623"/>
      <c r="H70" s="623"/>
      <c r="I70" s="623"/>
      <c r="J70" s="623"/>
      <c r="K70" s="623"/>
      <c r="L70" s="623"/>
      <c r="M70" s="623"/>
      <c r="N70" s="623"/>
      <c r="O70" s="623"/>
      <c r="P70" s="623"/>
      <c r="Q70" s="623"/>
      <c r="R70" s="623"/>
      <c r="S70" s="93" t="s">
        <v>498</v>
      </c>
      <c r="U70" s="89"/>
      <c r="V70" s="21"/>
      <c r="AQ70" s="89"/>
    </row>
    <row r="71" spans="1:43" ht="13.15" customHeight="1" x14ac:dyDescent="0.2">
      <c r="A71" s="19" t="s">
        <v>260</v>
      </c>
      <c r="B71" s="435"/>
      <c r="C71" s="583" t="s">
        <v>269</v>
      </c>
      <c r="D71" s="602"/>
      <c r="E71" s="602"/>
      <c r="F71" s="602"/>
      <c r="G71" s="602"/>
      <c r="H71" s="602"/>
      <c r="I71" s="602"/>
      <c r="J71" s="602"/>
      <c r="K71" s="602"/>
      <c r="L71" s="602"/>
      <c r="M71" s="602"/>
      <c r="N71" s="602"/>
      <c r="O71" s="602"/>
      <c r="P71" s="602"/>
      <c r="Q71" s="602"/>
      <c r="R71" s="602"/>
      <c r="S71" s="93" t="s">
        <v>489</v>
      </c>
      <c r="U71" s="89"/>
      <c r="V71" s="21"/>
      <c r="AQ71" s="89"/>
    </row>
    <row r="72" spans="1:43" ht="13.15" customHeight="1" x14ac:dyDescent="0.2">
      <c r="A72" s="375" t="s">
        <v>478</v>
      </c>
      <c r="B72" s="463"/>
      <c r="C72" s="587" t="s">
        <v>269</v>
      </c>
      <c r="D72" s="609"/>
      <c r="E72" s="609"/>
      <c r="F72" s="609"/>
      <c r="G72" s="609"/>
      <c r="H72" s="609"/>
      <c r="I72" s="609"/>
      <c r="J72" s="609"/>
      <c r="K72" s="609"/>
      <c r="L72" s="609"/>
      <c r="M72" s="609"/>
      <c r="N72" s="609"/>
      <c r="O72" s="609"/>
      <c r="P72" s="609"/>
      <c r="Q72" s="609"/>
      <c r="R72" s="609"/>
      <c r="S72" s="93" t="s">
        <v>490</v>
      </c>
      <c r="U72" s="89"/>
      <c r="V72" s="21"/>
      <c r="AQ72" s="89"/>
    </row>
    <row r="73" spans="1:43" ht="13.15" customHeight="1" x14ac:dyDescent="0.2">
      <c r="A73" s="19" t="s">
        <v>372</v>
      </c>
      <c r="B73" s="60"/>
      <c r="C73" s="583" t="s">
        <v>320</v>
      </c>
      <c r="D73" s="600"/>
      <c r="E73" s="600"/>
      <c r="F73" s="600"/>
      <c r="G73" s="600"/>
      <c r="H73" s="600"/>
      <c r="I73" s="600"/>
      <c r="J73" s="600"/>
      <c r="K73" s="600"/>
      <c r="L73" s="600"/>
      <c r="M73" s="600"/>
      <c r="N73" s="600"/>
      <c r="O73" s="600"/>
      <c r="P73" s="600"/>
      <c r="Q73" s="600"/>
      <c r="R73" s="600"/>
      <c r="S73" s="93" t="s">
        <v>491</v>
      </c>
      <c r="U73" s="89"/>
      <c r="V73" s="21"/>
      <c r="AQ73" s="89"/>
    </row>
    <row r="74" spans="1:43" ht="13.15" customHeight="1" x14ac:dyDescent="0.2">
      <c r="A74" s="19" t="s">
        <v>373</v>
      </c>
      <c r="B74" s="60"/>
      <c r="C74" s="610" t="s">
        <v>626</v>
      </c>
      <c r="D74" s="611"/>
      <c r="E74" s="611"/>
      <c r="F74" s="611"/>
      <c r="G74" s="611"/>
      <c r="H74" s="611"/>
      <c r="I74" s="611"/>
      <c r="J74" s="611"/>
      <c r="K74" s="611"/>
      <c r="L74" s="611"/>
      <c r="M74" s="611"/>
      <c r="N74" s="611"/>
      <c r="O74" s="611"/>
      <c r="P74" s="611"/>
      <c r="Q74" s="611"/>
      <c r="R74" s="612"/>
      <c r="S74" s="93" t="s">
        <v>492</v>
      </c>
      <c r="U74" s="89"/>
      <c r="V74" s="21"/>
      <c r="AQ74" s="89"/>
    </row>
    <row r="75" spans="1:43" ht="13.15" customHeight="1" x14ac:dyDescent="0.2">
      <c r="A75" s="19" t="s">
        <v>261</v>
      </c>
      <c r="B75" s="60"/>
      <c r="C75" s="610" t="s">
        <v>321</v>
      </c>
      <c r="D75" s="613"/>
      <c r="E75" s="613"/>
      <c r="F75" s="613"/>
      <c r="G75" s="613"/>
      <c r="H75" s="613"/>
      <c r="I75" s="613"/>
      <c r="J75" s="613"/>
      <c r="K75" s="613"/>
      <c r="L75" s="613"/>
      <c r="M75" s="613"/>
      <c r="N75" s="613"/>
      <c r="O75" s="613"/>
      <c r="P75" s="613"/>
      <c r="Q75" s="613"/>
      <c r="R75" s="614"/>
      <c r="S75" s="93" t="s">
        <v>493</v>
      </c>
      <c r="U75" s="89"/>
      <c r="V75" s="21"/>
      <c r="AQ75" s="89"/>
    </row>
    <row r="76" spans="1:43" ht="13.15" customHeight="1" x14ac:dyDescent="0.2">
      <c r="A76" s="19" t="s">
        <v>262</v>
      </c>
      <c r="B76" s="60"/>
      <c r="C76" s="583" t="s">
        <v>324</v>
      </c>
      <c r="D76" s="600"/>
      <c r="E76" s="600"/>
      <c r="F76" s="600"/>
      <c r="G76" s="600"/>
      <c r="H76" s="600"/>
      <c r="I76" s="600"/>
      <c r="J76" s="600"/>
      <c r="K76" s="600"/>
      <c r="L76" s="600"/>
      <c r="M76" s="600"/>
      <c r="N76" s="600"/>
      <c r="O76" s="600"/>
      <c r="P76" s="600"/>
      <c r="Q76" s="600"/>
      <c r="R76" s="600"/>
      <c r="S76" s="88"/>
      <c r="U76" s="89"/>
      <c r="V76" s="21"/>
      <c r="AQ76" s="89"/>
    </row>
    <row r="77" spans="1:43" ht="13.15" customHeight="1" x14ac:dyDescent="0.2">
      <c r="A77" s="19"/>
      <c r="B77" s="60"/>
      <c r="C77" s="583" t="s">
        <v>228</v>
      </c>
      <c r="D77" s="600"/>
      <c r="E77" s="600"/>
      <c r="F77" s="600"/>
      <c r="G77" s="600"/>
      <c r="H77" s="600"/>
      <c r="I77" s="600"/>
      <c r="J77" s="600"/>
      <c r="K77" s="600"/>
      <c r="L77" s="600"/>
      <c r="M77" s="600"/>
      <c r="N77" s="600"/>
      <c r="O77" s="600"/>
      <c r="P77" s="600"/>
      <c r="Q77" s="600"/>
      <c r="R77" s="600"/>
      <c r="S77" s="88"/>
      <c r="U77" s="89"/>
      <c r="V77" s="21"/>
      <c r="AQ77" s="89"/>
    </row>
    <row r="78" spans="1:43" ht="13.15" customHeight="1" thickBot="1" x14ac:dyDescent="0.25">
      <c r="A78" s="19"/>
      <c r="B78" s="60"/>
      <c r="C78" s="583" t="s">
        <v>270</v>
      </c>
      <c r="D78" s="602"/>
      <c r="E78" s="602"/>
      <c r="F78" s="602"/>
      <c r="G78" s="602"/>
      <c r="H78" s="602"/>
      <c r="I78" s="602"/>
      <c r="J78" s="602"/>
      <c r="K78" s="602"/>
      <c r="L78" s="602"/>
      <c r="M78" s="602"/>
      <c r="N78" s="602"/>
      <c r="O78" s="602"/>
      <c r="P78" s="602"/>
      <c r="Q78" s="602"/>
      <c r="R78" s="602"/>
      <c r="S78" s="326"/>
      <c r="T78" s="143"/>
      <c r="U78" s="144"/>
      <c r="V78" s="21"/>
      <c r="W78" s="143"/>
      <c r="X78" s="143"/>
      <c r="Y78" s="143"/>
      <c r="Z78" s="143"/>
      <c r="AA78" s="143"/>
      <c r="AB78" s="143"/>
      <c r="AC78" s="143"/>
      <c r="AD78" s="143"/>
      <c r="AE78" s="143"/>
      <c r="AF78" s="143"/>
      <c r="AG78" s="143"/>
      <c r="AH78" s="143"/>
      <c r="AI78" s="143"/>
      <c r="AJ78" s="143"/>
      <c r="AK78" s="143"/>
      <c r="AL78" s="143"/>
      <c r="AM78" s="143"/>
      <c r="AN78" s="143"/>
      <c r="AO78" s="143"/>
      <c r="AP78" s="143"/>
      <c r="AQ78" s="89"/>
    </row>
    <row r="79" spans="1:43" ht="13.15" customHeight="1" x14ac:dyDescent="0.2">
      <c r="A79" s="162" t="s">
        <v>209</v>
      </c>
      <c r="B79" s="464"/>
      <c r="C79" s="18" t="s">
        <v>208</v>
      </c>
      <c r="D79" s="16"/>
      <c r="E79" s="18" t="s">
        <v>207</v>
      </c>
      <c r="F79" s="18"/>
      <c r="G79" s="18" t="s">
        <v>206</v>
      </c>
      <c r="H79" s="17" t="e">
        <f>#REF!</f>
        <v>#REF!</v>
      </c>
      <c r="I79" s="16"/>
      <c r="J79" s="16"/>
      <c r="K79" s="16"/>
      <c r="L79" s="16"/>
      <c r="M79" s="16"/>
      <c r="N79" s="16"/>
      <c r="O79" s="16"/>
      <c r="P79" s="16"/>
      <c r="Q79" s="16"/>
      <c r="R79" s="16"/>
      <c r="S79" s="103"/>
      <c r="T79" s="103"/>
      <c r="U79" s="145"/>
      <c r="V79" s="162" t="s">
        <v>209</v>
      </c>
      <c r="W79" s="16"/>
      <c r="X79" s="163"/>
      <c r="Y79" s="18" t="s">
        <v>208</v>
      </c>
      <c r="Z79" s="16"/>
      <c r="AA79" s="18" t="s">
        <v>207</v>
      </c>
      <c r="AB79" s="18"/>
      <c r="AC79" s="18" t="s">
        <v>206</v>
      </c>
      <c r="AD79" s="17" t="e">
        <f>H79</f>
        <v>#REF!</v>
      </c>
      <c r="AE79" s="16"/>
      <c r="AF79" s="16"/>
      <c r="AG79" s="16"/>
      <c r="AH79" s="16"/>
      <c r="AI79" s="16"/>
      <c r="AJ79" s="16"/>
      <c r="AK79" s="16"/>
      <c r="AL79" s="16"/>
      <c r="AM79" s="16"/>
      <c r="AN79" s="103"/>
      <c r="AO79" s="103"/>
      <c r="AP79" s="103"/>
      <c r="AQ79" s="145"/>
    </row>
    <row r="80" spans="1:43" ht="13.15" customHeight="1" thickBot="1" x14ac:dyDescent="0.25">
      <c r="A80" s="159" t="e">
        <f>#REF!</f>
        <v>#REF!</v>
      </c>
      <c r="B80" s="175"/>
      <c r="C80" s="603" t="e">
        <f>#REF!</f>
        <v>#REF!</v>
      </c>
      <c r="D80" s="604"/>
      <c r="E80" s="605" t="e">
        <f>#REF!</f>
        <v>#REF!</v>
      </c>
      <c r="F80" s="606"/>
      <c r="G80" s="15"/>
      <c r="H80" s="14"/>
      <c r="I80" s="14"/>
      <c r="J80" s="14"/>
      <c r="K80" s="14"/>
      <c r="L80" s="14"/>
      <c r="M80" s="14"/>
      <c r="N80" s="14"/>
      <c r="O80" s="14"/>
      <c r="P80" s="14"/>
      <c r="Q80" s="14"/>
      <c r="R80" s="14"/>
      <c r="S80" s="143"/>
      <c r="T80" s="143"/>
      <c r="U80" s="144"/>
      <c r="V80" s="121"/>
      <c r="W80" s="14" t="e">
        <f>A80</f>
        <v>#REF!</v>
      </c>
      <c r="X80" s="164"/>
      <c r="Y80" s="603" t="e">
        <f>C80</f>
        <v>#REF!</v>
      </c>
      <c r="Z80" s="607"/>
      <c r="AA80" s="605" t="e">
        <f>E80</f>
        <v>#REF!</v>
      </c>
      <c r="AB80" s="608"/>
      <c r="AC80" s="15"/>
      <c r="AD80" s="14"/>
      <c r="AE80" s="14"/>
      <c r="AF80" s="14"/>
      <c r="AG80" s="14"/>
      <c r="AH80" s="14"/>
      <c r="AI80" s="14"/>
      <c r="AJ80" s="14"/>
      <c r="AK80" s="14"/>
      <c r="AL80" s="14"/>
      <c r="AM80" s="14"/>
      <c r="AN80" s="143"/>
      <c r="AO80" s="143"/>
      <c r="AP80" s="143"/>
      <c r="AQ80" s="144"/>
    </row>
  </sheetData>
  <mergeCells count="171">
    <mergeCell ref="K38:N38"/>
    <mergeCell ref="E52:J52"/>
    <mergeCell ref="K52:N52"/>
    <mergeCell ref="C74:R74"/>
    <mergeCell ref="AE57:AH57"/>
    <mergeCell ref="K57:L57"/>
    <mergeCell ref="C73:R73"/>
    <mergeCell ref="C72:R72"/>
    <mergeCell ref="AE62:AH62"/>
    <mergeCell ref="E59:J59"/>
    <mergeCell ref="K59:N59"/>
    <mergeCell ref="Q61:R61"/>
    <mergeCell ref="E58:J58"/>
    <mergeCell ref="K58:N58"/>
    <mergeCell ref="A64:R69"/>
    <mergeCell ref="Q58:R58"/>
    <mergeCell ref="Q52:R52"/>
    <mergeCell ref="E42:J42"/>
    <mergeCell ref="E45:J45"/>
    <mergeCell ref="Q56:R56"/>
    <mergeCell ref="K39:N39"/>
    <mergeCell ref="Q57:R57"/>
    <mergeCell ref="K53:N53"/>
    <mergeCell ref="E46:J46"/>
    <mergeCell ref="C7:D7"/>
    <mergeCell ref="K34:N34"/>
    <mergeCell ref="E26:J26"/>
    <mergeCell ref="F7:K7"/>
    <mergeCell ref="K27:N27"/>
    <mergeCell ref="E35:J35"/>
    <mergeCell ref="E36:J36"/>
    <mergeCell ref="C17:D17"/>
    <mergeCell ref="E19:J19"/>
    <mergeCell ref="K19:N19"/>
    <mergeCell ref="E20:J20"/>
    <mergeCell ref="K20:N20"/>
    <mergeCell ref="K25:N25"/>
    <mergeCell ref="E31:J31"/>
    <mergeCell ref="K24:N24"/>
    <mergeCell ref="K36:N36"/>
    <mergeCell ref="E30:J30"/>
    <mergeCell ref="E17:J18"/>
    <mergeCell ref="AA80:AB80"/>
    <mergeCell ref="Y80:Z80"/>
    <mergeCell ref="Q59:R59"/>
    <mergeCell ref="E60:J60"/>
    <mergeCell ref="Q60:R60"/>
    <mergeCell ref="E53:J53"/>
    <mergeCell ref="E55:J55"/>
    <mergeCell ref="Q55:R55"/>
    <mergeCell ref="X61:AD61"/>
    <mergeCell ref="K60:N60"/>
    <mergeCell ref="E61:J61"/>
    <mergeCell ref="K61:N61"/>
    <mergeCell ref="A70:R70"/>
    <mergeCell ref="C80:D80"/>
    <mergeCell ref="C75:R75"/>
    <mergeCell ref="C76:R76"/>
    <mergeCell ref="C77:R77"/>
    <mergeCell ref="E80:F80"/>
    <mergeCell ref="C71:R71"/>
    <mergeCell ref="K55:L55"/>
    <mergeCell ref="E54:J54"/>
    <mergeCell ref="K54:N54"/>
    <mergeCell ref="C78:R78"/>
    <mergeCell ref="Q54:R54"/>
    <mergeCell ref="AK62:AL62"/>
    <mergeCell ref="X58:AD58"/>
    <mergeCell ref="AE58:AH58"/>
    <mergeCell ref="AK58:AL58"/>
    <mergeCell ref="X59:AD59"/>
    <mergeCell ref="AE59:AH59"/>
    <mergeCell ref="AK59:AL59"/>
    <mergeCell ref="X60:AD60"/>
    <mergeCell ref="AE60:AH60"/>
    <mergeCell ref="AK60:AL60"/>
    <mergeCell ref="AE61:AH61"/>
    <mergeCell ref="AK61:AL61"/>
    <mergeCell ref="N6:O6"/>
    <mergeCell ref="AJ6:AK6"/>
    <mergeCell ref="E49:J49"/>
    <mergeCell ref="E37:J37"/>
    <mergeCell ref="V16:Y16"/>
    <mergeCell ref="E48:J48"/>
    <mergeCell ref="Q39:R39"/>
    <mergeCell ref="C11:U11"/>
    <mergeCell ref="E47:J47"/>
    <mergeCell ref="Q47:R47"/>
    <mergeCell ref="S47:T47"/>
    <mergeCell ref="K49:N49"/>
    <mergeCell ref="Q49:R49"/>
    <mergeCell ref="E29:J29"/>
    <mergeCell ref="E33:J33"/>
    <mergeCell ref="E34:J34"/>
    <mergeCell ref="E24:J24"/>
    <mergeCell ref="AB7:AG7"/>
    <mergeCell ref="E27:J27"/>
    <mergeCell ref="K30:N30"/>
    <mergeCell ref="Q37:R37"/>
    <mergeCell ref="E25:J25"/>
    <mergeCell ref="E21:J21"/>
    <mergeCell ref="E39:J39"/>
    <mergeCell ref="Q53:R53"/>
    <mergeCell ref="E51:J51"/>
    <mergeCell ref="Q51:R51"/>
    <mergeCell ref="E56:J56"/>
    <mergeCell ref="K46:N46"/>
    <mergeCell ref="Q46:R46"/>
    <mergeCell ref="K42:N42"/>
    <mergeCell ref="K51:N51"/>
    <mergeCell ref="Q42:R42"/>
    <mergeCell ref="Q45:R45"/>
    <mergeCell ref="Q48:R48"/>
    <mergeCell ref="K56:L56"/>
    <mergeCell ref="M55:N55"/>
    <mergeCell ref="M56:N56"/>
    <mergeCell ref="E38:J38"/>
    <mergeCell ref="K45:N45"/>
    <mergeCell ref="K48:N48"/>
    <mergeCell ref="Q38:R38"/>
    <mergeCell ref="Y7:Z7"/>
    <mergeCell ref="S17:U18"/>
    <mergeCell ref="K29:N29"/>
    <mergeCell ref="K26:N26"/>
    <mergeCell ref="K31:N31"/>
    <mergeCell ref="K47:N47"/>
    <mergeCell ref="K21:N21"/>
    <mergeCell ref="Q36:R36"/>
    <mergeCell ref="K33:N33"/>
    <mergeCell ref="Q33:R33"/>
    <mergeCell ref="Q25:R25"/>
    <mergeCell ref="K37:N37"/>
    <mergeCell ref="K17:N18"/>
    <mergeCell ref="O17:O18"/>
    <mergeCell ref="P17:P18"/>
    <mergeCell ref="K35:N35"/>
    <mergeCell ref="Q29:R29"/>
    <mergeCell ref="Q31:R31"/>
    <mergeCell ref="Q21:R21"/>
    <mergeCell ref="Q17:R18"/>
    <mergeCell ref="V8:Y8"/>
    <mergeCell ref="V9:Y9"/>
    <mergeCell ref="V13:Y13"/>
    <mergeCell ref="AM55:AP56"/>
    <mergeCell ref="S39:U40"/>
    <mergeCell ref="X57:AD57"/>
    <mergeCell ref="V14:Y14"/>
    <mergeCell ref="V15:Y15"/>
    <mergeCell ref="V12:Y12"/>
    <mergeCell ref="V10:Y10"/>
    <mergeCell ref="AK57:AL57"/>
    <mergeCell ref="W55:W56"/>
    <mergeCell ref="X55:AD56"/>
    <mergeCell ref="AE55:AH56"/>
    <mergeCell ref="AI55:AI56"/>
    <mergeCell ref="AJ55:AJ56"/>
    <mergeCell ref="AK55:AL56"/>
    <mergeCell ref="Q30:R30"/>
    <mergeCell ref="X18:AP18"/>
    <mergeCell ref="X42:AP42"/>
    <mergeCell ref="X49:Z49"/>
    <mergeCell ref="V19:V40"/>
    <mergeCell ref="V45:V48"/>
    <mergeCell ref="Q35:R35"/>
    <mergeCell ref="Q26:R26"/>
    <mergeCell ref="Q27:R27"/>
    <mergeCell ref="Q34:R34"/>
    <mergeCell ref="Q19:R19"/>
    <mergeCell ref="Q20:R20"/>
    <mergeCell ref="S29:S38"/>
    <mergeCell ref="Q24:R24"/>
  </mergeCells>
  <pageMargins left="0.70866141732283472" right="0.15748031496062992" top="0.51181102362204722" bottom="0.43307086614173229" header="0.27559055118110237" footer="0.27559055118110237"/>
  <pageSetup paperSize="9" scale="75" pageOrder="overThenDown" orientation="portrait" r:id="rId1"/>
  <headerFooter alignWithMargins="0">
    <oddHeader>&amp;LPIRS Vorlagen-Projekt&amp;C&amp;8Project: Template&amp;R&amp;G</oddHeader>
    <oddFooter xml:space="preserve">&amp;L&amp;8 &amp;F _&amp;A&amp;R&amp;8Page &amp;P+8 of [&amp;N+8] </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992F4-BC1B-46DA-9CB3-04AC5AE1430C}">
  <dimension ref="A1:AQ79"/>
  <sheetViews>
    <sheetView showWhiteSpace="0" view="pageLayout" zoomScaleNormal="100" zoomScaleSheetLayoutView="100" workbookViewId="0">
      <selection activeCell="AL2" sqref="AL2:AL4"/>
    </sheetView>
  </sheetViews>
  <sheetFormatPr defaultColWidth="0" defaultRowHeight="12.75" x14ac:dyDescent="0.2"/>
  <cols>
    <col min="1" max="1" width="14.28515625" style="13" customWidth="1"/>
    <col min="2" max="2" width="3.5703125" style="13" customWidth="1"/>
    <col min="3" max="21" width="5.7109375" style="13" customWidth="1"/>
    <col min="22" max="22" width="4.140625" style="13" customWidth="1"/>
    <col min="23" max="23" width="6.140625" style="13" customWidth="1"/>
    <col min="24" max="42" width="5.7109375" style="13" customWidth="1"/>
    <col min="43" max="59" width="6.140625" style="13" customWidth="1"/>
    <col min="60" max="16384" width="0" style="13" hidden="1"/>
  </cols>
  <sheetData>
    <row r="1" spans="1:43" ht="13.15" customHeight="1" x14ac:dyDescent="0.2">
      <c r="A1" s="73"/>
      <c r="B1" s="72"/>
      <c r="C1" s="72"/>
      <c r="D1" s="71"/>
      <c r="E1" s="16"/>
      <c r="F1" s="16"/>
      <c r="G1" s="16"/>
      <c r="H1" s="16"/>
      <c r="I1" s="16"/>
      <c r="J1" s="16"/>
      <c r="K1" s="114" t="s">
        <v>253</v>
      </c>
      <c r="L1" s="116"/>
      <c r="M1" s="116"/>
      <c r="N1" s="16"/>
      <c r="O1" s="68"/>
      <c r="P1" s="470" t="s">
        <v>650</v>
      </c>
      <c r="Q1" s="69"/>
      <c r="R1" s="68" t="s">
        <v>230</v>
      </c>
      <c r="S1" s="68"/>
      <c r="T1" s="67" t="s">
        <v>343</v>
      </c>
      <c r="U1" s="66"/>
      <c r="V1" s="162"/>
      <c r="W1" s="16"/>
      <c r="X1" s="72"/>
      <c r="Y1" s="72"/>
      <c r="Z1" s="71"/>
      <c r="AA1" s="16"/>
      <c r="AB1" s="16"/>
      <c r="AC1" s="16"/>
      <c r="AD1" s="16"/>
      <c r="AE1" s="16"/>
      <c r="AF1" s="231"/>
      <c r="AG1" s="230" t="s">
        <v>253</v>
      </c>
      <c r="AH1" s="116"/>
      <c r="AI1" s="116"/>
      <c r="AJ1" s="16"/>
      <c r="AK1" s="16"/>
      <c r="AL1" s="471" t="str">
        <f t="shared" ref="AL1:AL4" si="0">P1</f>
        <v>PT06</v>
      </c>
      <c r="AM1" s="69"/>
      <c r="AN1" s="68" t="s">
        <v>230</v>
      </c>
      <c r="AO1" s="68"/>
      <c r="AP1" s="67" t="str">
        <f>T1</f>
        <v>3E0 (1.0345)</v>
      </c>
      <c r="AQ1" s="66"/>
    </row>
    <row r="2" spans="1:43" ht="13.15" customHeight="1" x14ac:dyDescent="0.2">
      <c r="A2" s="63" t="s">
        <v>276</v>
      </c>
      <c r="B2" s="61"/>
      <c r="C2" s="62" t="s">
        <v>632</v>
      </c>
      <c r="D2" s="61"/>
      <c r="E2" s="60"/>
      <c r="F2" s="60"/>
      <c r="G2" s="60"/>
      <c r="H2" s="60"/>
      <c r="I2" s="60"/>
      <c r="J2" s="59"/>
      <c r="K2" s="100" t="s">
        <v>232</v>
      </c>
      <c r="L2" s="403"/>
      <c r="M2" s="404"/>
      <c r="N2" s="65"/>
      <c r="O2" s="65"/>
      <c r="P2" s="527">
        <v>11</v>
      </c>
      <c r="Q2" s="58" t="s">
        <v>231</v>
      </c>
      <c r="R2" s="65" t="s">
        <v>252</v>
      </c>
      <c r="S2" s="65"/>
      <c r="T2" s="81" t="s">
        <v>301</v>
      </c>
      <c r="U2" s="64"/>
      <c r="V2" s="19" t="s">
        <v>276</v>
      </c>
      <c r="W2" s="60"/>
      <c r="X2" s="61"/>
      <c r="Y2" s="62" t="str">
        <f>C2</f>
        <v>Closed Cooling Water (CCW) (T&lt;100°C)</v>
      </c>
      <c r="Z2" s="61"/>
      <c r="AA2" s="60"/>
      <c r="AB2" s="60"/>
      <c r="AC2" s="60"/>
      <c r="AD2" s="60"/>
      <c r="AE2" s="60"/>
      <c r="AF2" s="130"/>
      <c r="AG2" s="81" t="s">
        <v>232</v>
      </c>
      <c r="AH2" s="403"/>
      <c r="AI2" s="405"/>
      <c r="AJ2" s="65"/>
      <c r="AK2" s="65"/>
      <c r="AL2" s="523">
        <f t="shared" si="0"/>
        <v>11</v>
      </c>
      <c r="AM2" s="58" t="s">
        <v>231</v>
      </c>
      <c r="AN2" s="65" t="s">
        <v>252</v>
      </c>
      <c r="AO2" s="65"/>
      <c r="AP2" s="81" t="str">
        <f>T2</f>
        <v>EN PN16</v>
      </c>
      <c r="AQ2" s="64"/>
    </row>
    <row r="3" spans="1:43" ht="13.15" customHeight="1" x14ac:dyDescent="0.2">
      <c r="A3" s="63"/>
      <c r="B3" s="61"/>
      <c r="C3" s="62"/>
      <c r="D3" s="61"/>
      <c r="E3" s="60"/>
      <c r="F3" s="60"/>
      <c r="G3" s="60"/>
      <c r="H3" s="60"/>
      <c r="I3" s="60"/>
      <c r="J3" s="59"/>
      <c r="K3" s="100" t="s">
        <v>233</v>
      </c>
      <c r="L3" s="406"/>
      <c r="M3" s="407"/>
      <c r="N3" s="65"/>
      <c r="O3" s="65"/>
      <c r="P3" s="527">
        <v>110</v>
      </c>
      <c r="Q3" s="58" t="s">
        <v>223</v>
      </c>
      <c r="R3" s="76" t="s">
        <v>229</v>
      </c>
      <c r="S3" s="77"/>
      <c r="T3" s="81" t="s">
        <v>227</v>
      </c>
      <c r="U3" s="57"/>
      <c r="V3" s="51"/>
      <c r="W3" s="80"/>
      <c r="X3" s="61"/>
      <c r="Y3" s="62"/>
      <c r="Z3" s="61"/>
      <c r="AA3" s="60"/>
      <c r="AB3" s="60"/>
      <c r="AC3" s="60"/>
      <c r="AD3" s="60"/>
      <c r="AE3" s="60"/>
      <c r="AF3" s="130"/>
      <c r="AG3" s="81" t="s">
        <v>233</v>
      </c>
      <c r="AH3" s="406"/>
      <c r="AI3" s="101"/>
      <c r="AJ3" s="65"/>
      <c r="AK3" s="65"/>
      <c r="AL3" s="523">
        <f t="shared" si="0"/>
        <v>110</v>
      </c>
      <c r="AM3" s="58" t="s">
        <v>223</v>
      </c>
      <c r="AN3" s="76" t="s">
        <v>229</v>
      </c>
      <c r="AO3" s="77"/>
      <c r="AP3" s="81" t="str">
        <f>T3</f>
        <v>seamless</v>
      </c>
      <c r="AQ3" s="57"/>
    </row>
    <row r="4" spans="1:43" ht="13.15" customHeight="1" thickBot="1" x14ac:dyDescent="0.25">
      <c r="A4" s="56"/>
      <c r="B4" s="55"/>
      <c r="C4" s="55"/>
      <c r="D4" s="54"/>
      <c r="E4" s="53"/>
      <c r="F4" s="53"/>
      <c r="G4" s="53"/>
      <c r="H4" s="14"/>
      <c r="I4" s="14"/>
      <c r="J4" s="52"/>
      <c r="K4" s="60" t="s">
        <v>226</v>
      </c>
      <c r="L4" s="81"/>
      <c r="M4" s="408"/>
      <c r="N4" s="60"/>
      <c r="O4" s="60"/>
      <c r="P4" s="528">
        <v>14.4</v>
      </c>
      <c r="Q4" s="211" t="s">
        <v>235</v>
      </c>
      <c r="R4" s="82" t="s">
        <v>234</v>
      </c>
      <c r="S4" s="83"/>
      <c r="T4" s="113" t="s">
        <v>647</v>
      </c>
      <c r="U4" s="79"/>
      <c r="V4" s="119"/>
      <c r="W4" s="166"/>
      <c r="X4" s="55"/>
      <c r="Y4" s="55"/>
      <c r="Z4" s="54"/>
      <c r="AA4" s="53"/>
      <c r="AB4" s="53"/>
      <c r="AC4" s="53"/>
      <c r="AD4" s="14"/>
      <c r="AE4" s="14"/>
      <c r="AF4" s="232"/>
      <c r="AG4" s="60" t="s">
        <v>226</v>
      </c>
      <c r="AH4" s="81"/>
      <c r="AI4" s="102"/>
      <c r="AJ4" s="60"/>
      <c r="AK4" s="60"/>
      <c r="AL4" s="524">
        <f t="shared" si="0"/>
        <v>14.4</v>
      </c>
      <c r="AM4" s="58" t="s">
        <v>235</v>
      </c>
      <c r="AN4" s="82" t="s">
        <v>234</v>
      </c>
      <c r="AO4" s="83"/>
      <c r="AP4" s="113" t="str">
        <f>T4</f>
        <v>ECDD</v>
      </c>
      <c r="AQ4" s="79"/>
    </row>
    <row r="5" spans="1:43" ht="13.15" customHeight="1" x14ac:dyDescent="0.2">
      <c r="A5" s="51" t="s">
        <v>225</v>
      </c>
      <c r="B5" s="80"/>
      <c r="C5" s="50" t="s">
        <v>224</v>
      </c>
      <c r="D5" s="49" t="s">
        <v>223</v>
      </c>
      <c r="E5" s="48"/>
      <c r="F5" s="47" t="s">
        <v>303</v>
      </c>
      <c r="G5" s="47">
        <v>100</v>
      </c>
      <c r="H5" s="47">
        <v>150</v>
      </c>
      <c r="I5" s="47">
        <v>200</v>
      </c>
      <c r="J5" s="47">
        <v>250</v>
      </c>
      <c r="K5" s="104">
        <v>300</v>
      </c>
      <c r="L5" s="195">
        <v>350</v>
      </c>
      <c r="M5" s="205">
        <v>400</v>
      </c>
      <c r="N5" s="177"/>
      <c r="O5" s="176"/>
      <c r="P5" s="107"/>
      <c r="Q5" s="215"/>
      <c r="R5" s="104"/>
      <c r="S5" s="107"/>
      <c r="T5" s="107"/>
      <c r="U5" s="105"/>
      <c r="V5" s="19" t="s">
        <v>225</v>
      </c>
      <c r="W5" s="80"/>
      <c r="X5" s="80"/>
      <c r="Y5" s="50" t="s">
        <v>224</v>
      </c>
      <c r="Z5" s="49" t="s">
        <v>223</v>
      </c>
      <c r="AA5" s="48"/>
      <c r="AB5" s="47" t="s">
        <v>303</v>
      </c>
      <c r="AC5" s="47">
        <v>100</v>
      </c>
      <c r="AD5" s="47">
        <v>150</v>
      </c>
      <c r="AE5" s="47">
        <v>200</v>
      </c>
      <c r="AF5" s="47">
        <v>250</v>
      </c>
      <c r="AG5" s="104">
        <v>300</v>
      </c>
      <c r="AH5" s="195">
        <v>350</v>
      </c>
      <c r="AI5" s="205">
        <v>400</v>
      </c>
      <c r="AJ5" s="177"/>
      <c r="AK5" s="176"/>
      <c r="AL5" s="107"/>
      <c r="AM5" s="215"/>
      <c r="AN5" s="104"/>
      <c r="AO5" s="107"/>
      <c r="AP5" s="107"/>
      <c r="AQ5" s="105"/>
    </row>
    <row r="6" spans="1:43" ht="21" customHeight="1" x14ac:dyDescent="0.2">
      <c r="A6" s="51"/>
      <c r="B6" s="80"/>
      <c r="C6" s="185" t="s">
        <v>285</v>
      </c>
      <c r="D6" s="186" t="s">
        <v>235</v>
      </c>
      <c r="E6" s="187" t="s">
        <v>502</v>
      </c>
      <c r="F6" s="188">
        <v>16</v>
      </c>
      <c r="G6" s="188">
        <v>14.8</v>
      </c>
      <c r="H6" s="188">
        <v>14</v>
      </c>
      <c r="I6" s="188">
        <v>13.3</v>
      </c>
      <c r="J6" s="188">
        <v>12.1</v>
      </c>
      <c r="K6" s="189">
        <v>11</v>
      </c>
      <c r="L6" s="409">
        <v>10.199999999999999</v>
      </c>
      <c r="M6" s="233">
        <v>9.5</v>
      </c>
      <c r="N6" s="237"/>
      <c r="O6" s="192"/>
      <c r="P6" s="216"/>
      <c r="Q6" s="216"/>
      <c r="R6" s="189"/>
      <c r="S6" s="190"/>
      <c r="T6" s="190"/>
      <c r="U6" s="191"/>
      <c r="V6" s="21"/>
      <c r="X6" s="80"/>
      <c r="Y6" s="185" t="s">
        <v>285</v>
      </c>
      <c r="Z6" s="186" t="s">
        <v>235</v>
      </c>
      <c r="AA6" s="187" t="s">
        <v>502</v>
      </c>
      <c r="AB6" s="188">
        <v>16</v>
      </c>
      <c r="AC6" s="188">
        <v>14.8</v>
      </c>
      <c r="AD6" s="188">
        <v>14</v>
      </c>
      <c r="AE6" s="188">
        <v>13.3</v>
      </c>
      <c r="AF6" s="188">
        <v>12.1</v>
      </c>
      <c r="AG6" s="189">
        <v>11</v>
      </c>
      <c r="AH6" s="410">
        <v>10.199999999999999</v>
      </c>
      <c r="AI6" s="233">
        <v>9.5</v>
      </c>
      <c r="AJ6" s="237"/>
      <c r="AK6" s="192"/>
      <c r="AL6" s="216"/>
      <c r="AM6" s="216"/>
      <c r="AN6" s="189"/>
      <c r="AO6" s="190"/>
      <c r="AP6" s="190"/>
      <c r="AQ6" s="191"/>
    </row>
    <row r="7" spans="1:43" ht="13.5" customHeight="1" thickBot="1" x14ac:dyDescent="0.25">
      <c r="A7" s="46"/>
      <c r="B7" s="193"/>
      <c r="C7" s="671" t="s">
        <v>284</v>
      </c>
      <c r="D7" s="749"/>
      <c r="E7" s="45"/>
      <c r="F7" s="673" t="s">
        <v>286</v>
      </c>
      <c r="G7" s="750"/>
      <c r="H7" s="750"/>
      <c r="I7" s="750"/>
      <c r="J7" s="750"/>
      <c r="K7" s="750"/>
      <c r="L7" s="411" t="s">
        <v>287</v>
      </c>
      <c r="M7" s="234"/>
      <c r="N7" s="202"/>
      <c r="O7" s="412"/>
      <c r="P7" s="412"/>
      <c r="Q7" s="412"/>
      <c r="R7" s="201"/>
      <c r="S7" s="202"/>
      <c r="T7" s="202"/>
      <c r="U7" s="106"/>
      <c r="V7" s="121"/>
      <c r="W7" s="143"/>
      <c r="X7" s="193"/>
      <c r="Y7" s="671" t="s">
        <v>284</v>
      </c>
      <c r="Z7" s="749"/>
      <c r="AA7" s="45"/>
      <c r="AB7" s="673" t="s">
        <v>286</v>
      </c>
      <c r="AC7" s="750"/>
      <c r="AD7" s="750"/>
      <c r="AE7" s="750"/>
      <c r="AF7" s="750"/>
      <c r="AG7" s="750"/>
      <c r="AH7" s="411" t="s">
        <v>287</v>
      </c>
      <c r="AI7" s="234"/>
      <c r="AJ7" s="202"/>
      <c r="AK7" s="412"/>
      <c r="AL7" s="412"/>
      <c r="AM7" s="412"/>
      <c r="AN7" s="201"/>
      <c r="AO7" s="202"/>
      <c r="AP7" s="202"/>
      <c r="AQ7" s="106"/>
    </row>
    <row r="8" spans="1:43" ht="13.15" customHeight="1" x14ac:dyDescent="0.2">
      <c r="A8" s="413" t="s">
        <v>633</v>
      </c>
      <c r="B8" s="414" t="s">
        <v>220</v>
      </c>
      <c r="C8" s="269">
        <v>15</v>
      </c>
      <c r="D8" s="415"/>
      <c r="E8" s="268"/>
      <c r="F8" s="268"/>
      <c r="G8" s="268"/>
      <c r="H8" s="268"/>
      <c r="I8" s="268"/>
      <c r="J8" s="268"/>
      <c r="K8" s="268"/>
      <c r="L8" s="268"/>
      <c r="M8" s="268"/>
      <c r="N8" s="268"/>
      <c r="O8" s="268"/>
      <c r="P8" s="268"/>
      <c r="Q8" s="268"/>
      <c r="R8" s="268"/>
      <c r="S8" s="268"/>
      <c r="T8" s="253"/>
      <c r="U8" s="37">
        <v>600</v>
      </c>
      <c r="V8" s="702" t="s">
        <v>240</v>
      </c>
      <c r="W8" s="703"/>
      <c r="X8" s="751"/>
      <c r="Y8" s="752"/>
      <c r="Z8" s="158" t="s">
        <v>220</v>
      </c>
      <c r="AA8" s="200">
        <v>700</v>
      </c>
      <c r="AB8" s="38">
        <v>800</v>
      </c>
      <c r="AC8" s="38">
        <v>914</v>
      </c>
      <c r="AD8" s="103"/>
      <c r="AE8" s="103"/>
      <c r="AF8" s="103"/>
      <c r="AG8" s="103"/>
      <c r="AH8" s="103"/>
      <c r="AI8" s="103"/>
      <c r="AJ8" s="103"/>
      <c r="AK8" s="103"/>
      <c r="AL8" s="103"/>
      <c r="AM8" s="103"/>
      <c r="AN8" s="103"/>
      <c r="AO8" s="103"/>
      <c r="AP8" s="103"/>
      <c r="AQ8" s="145"/>
    </row>
    <row r="9" spans="1:43" ht="13.15" customHeight="1" x14ac:dyDescent="0.2">
      <c r="A9" s="416" t="s">
        <v>634</v>
      </c>
      <c r="B9" s="249" t="s">
        <v>222</v>
      </c>
      <c r="C9" s="35">
        <v>21.3</v>
      </c>
      <c r="D9" s="42">
        <v>26.9</v>
      </c>
      <c r="E9" s="34">
        <v>33.700000000000003</v>
      </c>
      <c r="F9" s="34">
        <v>42.4</v>
      </c>
      <c r="G9" s="34">
        <v>48.3</v>
      </c>
      <c r="H9" s="34">
        <v>60.3</v>
      </c>
      <c r="I9" s="34">
        <v>76.099999999999994</v>
      </c>
      <c r="J9" s="34">
        <v>88.9</v>
      </c>
      <c r="K9" s="34">
        <v>114.3</v>
      </c>
      <c r="L9" s="34">
        <v>139.69999999999999</v>
      </c>
      <c r="M9" s="34">
        <v>168.3</v>
      </c>
      <c r="N9" s="34">
        <v>219.1</v>
      </c>
      <c r="O9" s="34">
        <v>273</v>
      </c>
      <c r="P9" s="34">
        <v>323.89999999999998</v>
      </c>
      <c r="Q9" s="34">
        <v>355.6</v>
      </c>
      <c r="R9" s="34">
        <v>406.4</v>
      </c>
      <c r="S9" s="34">
        <v>457</v>
      </c>
      <c r="T9" s="34">
        <v>508</v>
      </c>
      <c r="U9" s="41">
        <v>610</v>
      </c>
      <c r="V9" s="706" t="s">
        <v>237</v>
      </c>
      <c r="W9" s="600"/>
      <c r="X9" s="747"/>
      <c r="Y9" s="748"/>
      <c r="Z9" s="293" t="s">
        <v>222</v>
      </c>
      <c r="AA9" s="35">
        <v>711</v>
      </c>
      <c r="AB9" s="34">
        <v>813</v>
      </c>
      <c r="AC9" s="34">
        <v>48.3</v>
      </c>
      <c r="AQ9" s="89"/>
    </row>
    <row r="10" spans="1:43" ht="13.15" customHeight="1" x14ac:dyDescent="0.2">
      <c r="A10" s="417" t="s">
        <v>635</v>
      </c>
      <c r="B10" s="33" t="s">
        <v>222</v>
      </c>
      <c r="C10" s="678" t="s">
        <v>653</v>
      </c>
      <c r="D10" s="662"/>
      <c r="E10" s="662"/>
      <c r="F10" s="662"/>
      <c r="G10" s="662"/>
      <c r="H10" s="662"/>
      <c r="I10" s="662"/>
      <c r="J10" s="662"/>
      <c r="K10" s="662"/>
      <c r="L10" s="662"/>
      <c r="M10" s="662"/>
      <c r="N10" s="662"/>
      <c r="O10" s="662"/>
      <c r="P10" s="662"/>
      <c r="Q10" s="662"/>
      <c r="R10" s="662"/>
      <c r="S10" s="662"/>
      <c r="T10" s="662"/>
      <c r="U10" s="753"/>
      <c r="V10" s="711" t="s">
        <v>293</v>
      </c>
      <c r="W10" s="712"/>
      <c r="X10" s="747"/>
      <c r="Y10" s="748"/>
      <c r="Z10" s="294" t="s">
        <v>222</v>
      </c>
      <c r="AA10" s="238"/>
      <c r="AB10" s="239"/>
      <c r="AC10" s="239"/>
      <c r="AQ10" s="89"/>
    </row>
    <row r="11" spans="1:43" ht="13.15" customHeight="1" x14ac:dyDescent="0.2">
      <c r="A11" s="84" t="s">
        <v>636</v>
      </c>
      <c r="B11" s="418" t="s">
        <v>236</v>
      </c>
      <c r="C11" s="679"/>
      <c r="D11" s="665"/>
      <c r="E11" s="665"/>
      <c r="F11" s="665"/>
      <c r="G11" s="665"/>
      <c r="H11" s="665"/>
      <c r="I11" s="665"/>
      <c r="J11" s="665"/>
      <c r="K11" s="665"/>
      <c r="L11" s="665"/>
      <c r="M11" s="665"/>
      <c r="N11" s="665"/>
      <c r="O11" s="665"/>
      <c r="P11" s="665"/>
      <c r="Q11" s="665"/>
      <c r="R11" s="665"/>
      <c r="S11" s="665"/>
      <c r="T11" s="665"/>
      <c r="U11" s="754"/>
      <c r="V11" s="84" t="s">
        <v>239</v>
      </c>
      <c r="W11" s="85"/>
      <c r="Z11" s="295" t="s">
        <v>236</v>
      </c>
      <c r="AC11" s="335"/>
      <c r="AQ11" s="89"/>
    </row>
    <row r="12" spans="1:43" ht="13.15" customHeight="1" thickBot="1" x14ac:dyDescent="0.25">
      <c r="A12" s="419" t="s">
        <v>637</v>
      </c>
      <c r="B12" s="32" t="s">
        <v>222</v>
      </c>
      <c r="C12" s="680"/>
      <c r="D12" s="681"/>
      <c r="E12" s="681"/>
      <c r="F12" s="681"/>
      <c r="G12" s="681"/>
      <c r="H12" s="681"/>
      <c r="I12" s="681"/>
      <c r="J12" s="681"/>
      <c r="K12" s="681"/>
      <c r="L12" s="681"/>
      <c r="M12" s="681"/>
      <c r="N12" s="681"/>
      <c r="O12" s="681"/>
      <c r="P12" s="681"/>
      <c r="Q12" s="681"/>
      <c r="R12" s="681"/>
      <c r="S12" s="681"/>
      <c r="T12" s="681"/>
      <c r="U12" s="755"/>
      <c r="V12" s="711" t="s">
        <v>238</v>
      </c>
      <c r="W12" s="712"/>
      <c r="X12" s="747"/>
      <c r="Y12" s="748"/>
      <c r="Z12" s="296" t="s">
        <v>222</v>
      </c>
      <c r="AA12" s="40"/>
      <c r="AB12" s="39"/>
      <c r="AC12" s="39"/>
      <c r="AQ12" s="89"/>
    </row>
    <row r="13" spans="1:43" ht="13.15" customHeight="1" x14ac:dyDescent="0.2">
      <c r="A13" s="413" t="s">
        <v>638</v>
      </c>
      <c r="B13" s="420" t="s">
        <v>220</v>
      </c>
      <c r="C13" s="269">
        <v>15</v>
      </c>
      <c r="D13" s="415"/>
      <c r="E13" s="268"/>
      <c r="F13" s="268"/>
      <c r="G13" s="268"/>
      <c r="H13" s="268"/>
      <c r="I13" s="268"/>
      <c r="J13" s="268"/>
      <c r="K13" s="268"/>
      <c r="L13" s="268"/>
      <c r="M13" s="268"/>
      <c r="N13" s="268"/>
      <c r="O13" s="268"/>
      <c r="P13" s="268"/>
      <c r="Q13" s="268"/>
      <c r="R13" s="268"/>
      <c r="S13" s="268"/>
      <c r="T13" s="253"/>
      <c r="U13" s="37">
        <v>600</v>
      </c>
      <c r="V13" s="702" t="s">
        <v>254</v>
      </c>
      <c r="W13" s="703"/>
      <c r="X13" s="751"/>
      <c r="Y13" s="752"/>
      <c r="Z13" s="158" t="s">
        <v>220</v>
      </c>
      <c r="AA13" s="44">
        <v>15</v>
      </c>
      <c r="AB13" s="43">
        <v>25</v>
      </c>
      <c r="AC13" s="43">
        <v>40</v>
      </c>
      <c r="AQ13" s="89"/>
    </row>
    <row r="14" spans="1:43" ht="13.15" customHeight="1" x14ac:dyDescent="0.2">
      <c r="A14" s="416" t="s">
        <v>639</v>
      </c>
      <c r="B14" s="156" t="s">
        <v>222</v>
      </c>
      <c r="C14" s="756" t="s">
        <v>653</v>
      </c>
      <c r="D14" s="684"/>
      <c r="E14" s="684"/>
      <c r="F14" s="684"/>
      <c r="G14" s="684"/>
      <c r="H14" s="684"/>
      <c r="I14" s="684"/>
      <c r="J14" s="684"/>
      <c r="K14" s="684"/>
      <c r="L14" s="684"/>
      <c r="M14" s="684"/>
      <c r="N14" s="684"/>
      <c r="O14" s="684"/>
      <c r="P14" s="684"/>
      <c r="Q14" s="684"/>
      <c r="R14" s="684"/>
      <c r="S14" s="684"/>
      <c r="T14" s="684"/>
      <c r="U14" s="757"/>
      <c r="V14" s="706" t="s">
        <v>255</v>
      </c>
      <c r="W14" s="600"/>
      <c r="X14" s="747"/>
      <c r="Y14" s="748"/>
      <c r="Z14" s="297" t="s">
        <v>222</v>
      </c>
      <c r="AA14" s="35">
        <v>711</v>
      </c>
      <c r="AB14" s="34">
        <v>813</v>
      </c>
      <c r="AC14" s="34">
        <v>914</v>
      </c>
      <c r="AQ14" s="89"/>
    </row>
    <row r="15" spans="1:43" ht="13.15" customHeight="1" x14ac:dyDescent="0.2">
      <c r="A15" s="417" t="s">
        <v>640</v>
      </c>
      <c r="B15" s="239" t="s">
        <v>222</v>
      </c>
      <c r="C15" s="664"/>
      <c r="D15" s="665"/>
      <c r="E15" s="665"/>
      <c r="F15" s="665"/>
      <c r="G15" s="665"/>
      <c r="H15" s="665"/>
      <c r="I15" s="665"/>
      <c r="J15" s="665"/>
      <c r="K15" s="665"/>
      <c r="L15" s="665"/>
      <c r="M15" s="665"/>
      <c r="N15" s="665"/>
      <c r="O15" s="665"/>
      <c r="P15" s="665"/>
      <c r="Q15" s="665"/>
      <c r="R15" s="665"/>
      <c r="S15" s="665"/>
      <c r="T15" s="665"/>
      <c r="U15" s="754"/>
      <c r="V15" s="707" t="s">
        <v>294</v>
      </c>
      <c r="W15" s="708"/>
      <c r="X15" s="759"/>
      <c r="Y15" s="760"/>
      <c r="Z15" s="294" t="s">
        <v>222</v>
      </c>
      <c r="AA15" s="238"/>
      <c r="AB15" s="239"/>
      <c r="AC15" s="239"/>
      <c r="AQ15" s="89"/>
    </row>
    <row r="16" spans="1:43" ht="13.15" customHeight="1" thickBot="1" x14ac:dyDescent="0.25">
      <c r="A16" s="419" t="s">
        <v>641</v>
      </c>
      <c r="B16" s="39" t="s">
        <v>236</v>
      </c>
      <c r="C16" s="758"/>
      <c r="D16" s="681"/>
      <c r="E16" s="681"/>
      <c r="F16" s="681"/>
      <c r="G16" s="681"/>
      <c r="H16" s="681"/>
      <c r="I16" s="681"/>
      <c r="J16" s="681"/>
      <c r="K16" s="681"/>
      <c r="L16" s="681"/>
      <c r="M16" s="681"/>
      <c r="N16" s="681"/>
      <c r="O16" s="681"/>
      <c r="P16" s="681"/>
      <c r="Q16" s="681"/>
      <c r="R16" s="681"/>
      <c r="S16" s="681"/>
      <c r="T16" s="681"/>
      <c r="U16" s="755"/>
      <c r="V16" s="732" t="s">
        <v>457</v>
      </c>
      <c r="W16" s="733"/>
      <c r="X16" s="761"/>
      <c r="Y16" s="762"/>
      <c r="Z16" s="32" t="s">
        <v>236</v>
      </c>
      <c r="AA16" s="316"/>
      <c r="AB16" s="317"/>
      <c r="AC16" s="317"/>
      <c r="AO16" s="421"/>
      <c r="AQ16" s="89"/>
    </row>
    <row r="17" spans="1:43" ht="13.15" customHeight="1" x14ac:dyDescent="0.2">
      <c r="A17" s="31" t="s">
        <v>221</v>
      </c>
      <c r="B17" s="422"/>
      <c r="C17" s="631" t="s">
        <v>220</v>
      </c>
      <c r="D17" s="632"/>
      <c r="E17" s="633" t="s">
        <v>197</v>
      </c>
      <c r="F17" s="763"/>
      <c r="G17" s="763"/>
      <c r="H17" s="763"/>
      <c r="I17" s="763"/>
      <c r="J17" s="763"/>
      <c r="K17" s="635" t="s">
        <v>241</v>
      </c>
      <c r="L17" s="763"/>
      <c r="M17" s="763"/>
      <c r="N17" s="766"/>
      <c r="O17" s="656" t="s">
        <v>243</v>
      </c>
      <c r="P17" s="656" t="s">
        <v>242</v>
      </c>
      <c r="Q17" s="637" t="s">
        <v>244</v>
      </c>
      <c r="R17" s="781"/>
      <c r="S17" s="633" t="s">
        <v>245</v>
      </c>
      <c r="T17" s="770"/>
      <c r="U17" s="771"/>
      <c r="V17" s="423"/>
      <c r="AQ17" s="89"/>
    </row>
    <row r="18" spans="1:43" ht="13.15" customHeight="1" x14ac:dyDescent="0.2">
      <c r="A18" s="20"/>
      <c r="B18" s="424"/>
      <c r="C18" s="30" t="s">
        <v>219</v>
      </c>
      <c r="D18" s="30" t="s">
        <v>218</v>
      </c>
      <c r="E18" s="764"/>
      <c r="F18" s="765"/>
      <c r="G18" s="765"/>
      <c r="H18" s="765"/>
      <c r="I18" s="765"/>
      <c r="J18" s="765"/>
      <c r="K18" s="767"/>
      <c r="L18" s="765"/>
      <c r="M18" s="765"/>
      <c r="N18" s="768"/>
      <c r="O18" s="765"/>
      <c r="P18" s="765"/>
      <c r="Q18" s="765"/>
      <c r="R18" s="765"/>
      <c r="S18" s="772"/>
      <c r="T18" s="773"/>
      <c r="U18" s="774"/>
      <c r="V18" s="425"/>
      <c r="W18" s="168"/>
      <c r="X18" s="769" t="s">
        <v>288</v>
      </c>
      <c r="Y18" s="775"/>
      <c r="Z18" s="775"/>
      <c r="AA18" s="775"/>
      <c r="AB18" s="775"/>
      <c r="AC18" s="775"/>
      <c r="AD18" s="775"/>
      <c r="AE18" s="775"/>
      <c r="AF18" s="775"/>
      <c r="AG18" s="775"/>
      <c r="AH18" s="775"/>
      <c r="AI18" s="775"/>
      <c r="AJ18" s="775"/>
      <c r="AK18" s="775"/>
      <c r="AL18" s="775"/>
      <c r="AM18" s="775"/>
      <c r="AN18" s="775"/>
      <c r="AO18" s="660"/>
      <c r="AP18" s="660"/>
      <c r="AQ18" s="89"/>
    </row>
    <row r="19" spans="1:43" ht="13.15" customHeight="1" x14ac:dyDescent="0.2">
      <c r="A19" s="19" t="s">
        <v>217</v>
      </c>
      <c r="B19" s="60"/>
      <c r="C19" s="24"/>
      <c r="D19" s="24"/>
      <c r="E19" s="561"/>
      <c r="F19" s="728"/>
      <c r="G19" s="728"/>
      <c r="H19" s="728"/>
      <c r="I19" s="728"/>
      <c r="J19" s="729"/>
      <c r="K19" s="564"/>
      <c r="L19" s="728"/>
      <c r="M19" s="728"/>
      <c r="N19" s="729"/>
      <c r="O19" s="97"/>
      <c r="P19" s="97"/>
      <c r="Q19" s="651"/>
      <c r="R19" s="776"/>
      <c r="S19" s="88"/>
      <c r="U19" s="89"/>
      <c r="V19" s="777" t="s">
        <v>274</v>
      </c>
      <c r="W19" s="426">
        <v>15</v>
      </c>
      <c r="X19" s="427"/>
      <c r="Y19" s="428"/>
      <c r="Z19" s="428"/>
      <c r="AA19" s="428"/>
      <c r="AB19" s="428"/>
      <c r="AC19" s="428"/>
      <c r="AD19" s="428"/>
      <c r="AE19" s="428"/>
      <c r="AF19" s="428"/>
      <c r="AG19" s="428"/>
      <c r="AH19" s="428"/>
      <c r="AI19" s="428"/>
      <c r="AJ19" s="428"/>
      <c r="AK19" s="428"/>
      <c r="AL19" s="429"/>
      <c r="AM19" s="429"/>
      <c r="AN19" s="421"/>
      <c r="AQ19" s="89"/>
    </row>
    <row r="20" spans="1:43" ht="13.15" customHeight="1" x14ac:dyDescent="0.2">
      <c r="A20" s="19"/>
      <c r="B20" s="60"/>
      <c r="C20" s="24"/>
      <c r="D20" s="24"/>
      <c r="E20" s="583"/>
      <c r="F20" s="778"/>
      <c r="G20" s="778"/>
      <c r="H20" s="778"/>
      <c r="I20" s="778"/>
      <c r="J20" s="779"/>
      <c r="K20" s="584"/>
      <c r="L20" s="778"/>
      <c r="M20" s="778"/>
      <c r="N20" s="779"/>
      <c r="O20" s="98"/>
      <c r="P20" s="98"/>
      <c r="Q20" s="652"/>
      <c r="R20" s="780"/>
      <c r="S20" s="88"/>
      <c r="U20" s="89"/>
      <c r="V20" s="658"/>
      <c r="W20" s="430" t="s">
        <v>642</v>
      </c>
      <c r="X20" s="427"/>
      <c r="Y20" s="427"/>
      <c r="Z20" s="431"/>
      <c r="AA20" s="428"/>
      <c r="AB20" s="428"/>
      <c r="AC20" s="428"/>
      <c r="AD20" s="428"/>
      <c r="AE20" s="428"/>
      <c r="AF20" s="428"/>
      <c r="AG20" s="428"/>
      <c r="AH20" s="428"/>
      <c r="AI20" s="428"/>
      <c r="AJ20" s="428"/>
      <c r="AK20" s="428"/>
      <c r="AL20" s="428"/>
      <c r="AM20" s="429"/>
      <c r="AN20" s="429"/>
      <c r="AQ20" s="89"/>
    </row>
    <row r="21" spans="1:43" ht="13.15" customHeight="1" x14ac:dyDescent="0.2">
      <c r="A21" s="19"/>
      <c r="B21" s="60"/>
      <c r="C21" s="24"/>
      <c r="D21" s="24"/>
      <c r="E21" s="583"/>
      <c r="F21" s="778"/>
      <c r="G21" s="778"/>
      <c r="H21" s="778"/>
      <c r="I21" s="778"/>
      <c r="J21" s="779"/>
      <c r="K21" s="584"/>
      <c r="L21" s="778"/>
      <c r="M21" s="778"/>
      <c r="N21" s="779"/>
      <c r="O21" s="98"/>
      <c r="P21" s="98"/>
      <c r="Q21" s="652"/>
      <c r="R21" s="780"/>
      <c r="S21" s="93"/>
      <c r="U21" s="89"/>
      <c r="V21" s="658"/>
      <c r="W21" s="426">
        <v>25</v>
      </c>
      <c r="X21" s="427"/>
      <c r="Y21" s="427"/>
      <c r="Z21" s="427"/>
      <c r="AA21" s="428"/>
      <c r="AB21" s="428"/>
      <c r="AC21" s="428"/>
      <c r="AD21" s="428"/>
      <c r="AE21" s="428"/>
      <c r="AF21" s="428"/>
      <c r="AG21" s="428"/>
      <c r="AH21" s="428"/>
      <c r="AI21" s="428"/>
      <c r="AJ21" s="428"/>
      <c r="AK21" s="428"/>
      <c r="AL21" s="428"/>
      <c r="AM21" s="429"/>
      <c r="AN21" s="429"/>
      <c r="AQ21" s="89"/>
    </row>
    <row r="22" spans="1:43" ht="13.15" customHeight="1" x14ac:dyDescent="0.2">
      <c r="A22" s="19"/>
      <c r="B22" s="60"/>
      <c r="C22" s="24"/>
      <c r="D22" s="24"/>
      <c r="E22" s="155"/>
      <c r="F22" s="432"/>
      <c r="G22" s="432"/>
      <c r="H22" s="432"/>
      <c r="I22" s="432"/>
      <c r="J22" s="433"/>
      <c r="K22" s="182"/>
      <c r="L22" s="432"/>
      <c r="M22" s="432"/>
      <c r="N22" s="433"/>
      <c r="O22" s="98"/>
      <c r="P22" s="98"/>
      <c r="Q22" s="183"/>
      <c r="R22" s="434"/>
      <c r="S22" s="88"/>
      <c r="U22" s="89"/>
      <c r="V22" s="658"/>
      <c r="W22" s="430" t="s">
        <v>643</v>
      </c>
      <c r="X22" s="427"/>
      <c r="Y22" s="427"/>
      <c r="Z22" s="427"/>
      <c r="AA22" s="427"/>
      <c r="AB22" s="431"/>
      <c r="AC22" s="428"/>
      <c r="AD22" s="428"/>
      <c r="AE22" s="428"/>
      <c r="AF22" s="428"/>
      <c r="AG22" s="428"/>
      <c r="AH22" s="428"/>
      <c r="AI22" s="428"/>
      <c r="AJ22" s="428"/>
      <c r="AK22" s="428"/>
      <c r="AL22" s="428"/>
      <c r="AM22" s="428"/>
      <c r="AN22" s="429"/>
      <c r="AO22" s="429"/>
      <c r="AQ22" s="89"/>
    </row>
    <row r="23" spans="1:43" ht="13.15" customHeight="1" x14ac:dyDescent="0.2">
      <c r="A23" s="19"/>
      <c r="B23" s="60"/>
      <c r="C23" s="24"/>
      <c r="D23" s="24"/>
      <c r="E23" s="155"/>
      <c r="F23" s="432"/>
      <c r="G23" s="432"/>
      <c r="H23" s="432"/>
      <c r="I23" s="432"/>
      <c r="J23" s="433"/>
      <c r="K23" s="182"/>
      <c r="L23" s="432"/>
      <c r="M23" s="432"/>
      <c r="N23" s="433"/>
      <c r="O23" s="98"/>
      <c r="P23" s="98"/>
      <c r="Q23" s="183"/>
      <c r="R23" s="434"/>
      <c r="S23" s="88"/>
      <c r="U23" s="89"/>
      <c r="V23" s="658"/>
      <c r="W23" s="426">
        <v>40</v>
      </c>
      <c r="X23" s="427"/>
      <c r="Y23" s="427"/>
      <c r="Z23" s="427"/>
      <c r="AA23" s="427"/>
      <c r="AB23" s="427"/>
      <c r="AC23" s="431"/>
      <c r="AD23" s="428"/>
      <c r="AE23" s="428"/>
      <c r="AF23" s="428"/>
      <c r="AG23" s="428"/>
      <c r="AH23" s="428"/>
      <c r="AI23" s="428"/>
      <c r="AJ23" s="428"/>
      <c r="AK23" s="428"/>
      <c r="AL23" s="428"/>
      <c r="AM23" s="428"/>
      <c r="AN23" s="429"/>
      <c r="AO23" s="429"/>
      <c r="AQ23" s="89"/>
    </row>
    <row r="24" spans="1:43" ht="13.15" customHeight="1" x14ac:dyDescent="0.2">
      <c r="A24" s="26" t="s">
        <v>298</v>
      </c>
      <c r="B24" s="435"/>
      <c r="C24" s="29"/>
      <c r="D24" s="25"/>
      <c r="E24" s="358"/>
      <c r="F24" s="436"/>
      <c r="G24" s="436"/>
      <c r="H24" s="436"/>
      <c r="I24" s="436"/>
      <c r="J24" s="437"/>
      <c r="K24" s="361"/>
      <c r="L24" s="436"/>
      <c r="M24" s="436"/>
      <c r="N24" s="437"/>
      <c r="O24" s="148"/>
      <c r="P24" s="97"/>
      <c r="Q24" s="362"/>
      <c r="R24" s="438"/>
      <c r="S24" s="90"/>
      <c r="T24" s="91"/>
      <c r="U24" s="92"/>
      <c r="V24" s="658"/>
      <c r="W24" s="426">
        <v>50</v>
      </c>
      <c r="X24" s="427"/>
      <c r="Y24" s="427"/>
      <c r="Z24" s="427"/>
      <c r="AA24" s="427"/>
      <c r="AB24" s="427"/>
      <c r="AC24" s="427"/>
      <c r="AD24" s="428"/>
      <c r="AE24" s="428"/>
      <c r="AF24" s="428"/>
      <c r="AG24" s="428"/>
      <c r="AH24" s="428"/>
      <c r="AI24" s="428"/>
      <c r="AJ24" s="428"/>
      <c r="AK24" s="428"/>
      <c r="AL24" s="428"/>
      <c r="AM24" s="428"/>
      <c r="AN24" s="429"/>
      <c r="AO24" s="429"/>
      <c r="AQ24" s="89"/>
    </row>
    <row r="25" spans="1:43" ht="13.15" customHeight="1" x14ac:dyDescent="0.2">
      <c r="A25" s="19" t="s">
        <v>305</v>
      </c>
      <c r="B25" s="60"/>
      <c r="C25" s="235"/>
      <c r="D25" s="242"/>
      <c r="E25" s="184"/>
      <c r="F25" s="439"/>
      <c r="G25" s="439"/>
      <c r="H25" s="439"/>
      <c r="I25" s="439"/>
      <c r="J25" s="440"/>
      <c r="K25" s="441"/>
      <c r="L25" s="439"/>
      <c r="M25" s="439"/>
      <c r="N25" s="440"/>
      <c r="O25" s="188"/>
      <c r="P25" s="188"/>
      <c r="Q25" s="189"/>
      <c r="R25" s="442"/>
      <c r="S25" s="93"/>
      <c r="U25" s="89"/>
      <c r="V25" s="658"/>
      <c r="W25" s="430" t="s">
        <v>295</v>
      </c>
      <c r="X25" s="427"/>
      <c r="Y25" s="443"/>
      <c r="Z25" s="443"/>
      <c r="AA25" s="427"/>
      <c r="AB25" s="427"/>
      <c r="AC25" s="427"/>
      <c r="AD25" s="427"/>
      <c r="AE25" s="431"/>
      <c r="AF25" s="428"/>
      <c r="AG25" s="428"/>
      <c r="AH25" s="428"/>
      <c r="AI25" s="428"/>
      <c r="AJ25" s="428"/>
      <c r="AK25" s="428"/>
      <c r="AL25" s="428"/>
      <c r="AM25" s="428"/>
      <c r="AN25" s="428"/>
      <c r="AO25" s="429"/>
      <c r="AP25" s="429"/>
      <c r="AQ25" s="89"/>
    </row>
    <row r="26" spans="1:43" ht="13.15" customHeight="1" x14ac:dyDescent="0.2">
      <c r="A26" s="19"/>
      <c r="B26" s="60"/>
      <c r="C26" s="24"/>
      <c r="D26" s="23"/>
      <c r="E26" s="155"/>
      <c r="F26" s="432"/>
      <c r="G26" s="432"/>
      <c r="H26" s="432"/>
      <c r="I26" s="432"/>
      <c r="J26" s="433"/>
      <c r="K26" s="182"/>
      <c r="L26" s="432"/>
      <c r="M26" s="432"/>
      <c r="N26" s="433"/>
      <c r="O26" s="98"/>
      <c r="P26" s="98"/>
      <c r="Q26" s="183"/>
      <c r="R26" s="434"/>
      <c r="S26" s="88"/>
      <c r="U26" s="89"/>
      <c r="V26" s="658"/>
      <c r="W26" s="426">
        <v>80</v>
      </c>
      <c r="X26" s="427"/>
      <c r="Y26" s="427"/>
      <c r="Z26" s="427"/>
      <c r="AA26" s="427"/>
      <c r="AB26" s="427"/>
      <c r="AC26" s="427"/>
      <c r="AD26" s="427"/>
      <c r="AE26" s="427"/>
      <c r="AF26" s="428"/>
      <c r="AG26" s="428"/>
      <c r="AH26" s="428"/>
      <c r="AI26" s="428"/>
      <c r="AJ26" s="428"/>
      <c r="AK26" s="428"/>
      <c r="AL26" s="428"/>
      <c r="AM26" s="428"/>
      <c r="AN26" s="428"/>
      <c r="AO26" s="429"/>
      <c r="AP26" s="429"/>
      <c r="AQ26" s="89"/>
    </row>
    <row r="27" spans="1:43" ht="13.15" customHeight="1" x14ac:dyDescent="0.2">
      <c r="A27" s="19"/>
      <c r="B27" s="60"/>
      <c r="C27" s="24"/>
      <c r="D27" s="23"/>
      <c r="E27" s="155"/>
      <c r="F27" s="432"/>
      <c r="G27" s="432"/>
      <c r="H27" s="432"/>
      <c r="I27" s="432"/>
      <c r="J27" s="433"/>
      <c r="K27" s="182"/>
      <c r="L27" s="432"/>
      <c r="M27" s="432"/>
      <c r="N27" s="433"/>
      <c r="O27" s="98"/>
      <c r="P27" s="98"/>
      <c r="Q27" s="183"/>
      <c r="R27" s="434"/>
      <c r="S27" s="93"/>
      <c r="U27" s="89"/>
      <c r="V27" s="658"/>
      <c r="W27" s="426">
        <v>100</v>
      </c>
      <c r="X27" s="427"/>
      <c r="Y27" s="427"/>
      <c r="Z27" s="427"/>
      <c r="AA27" s="427"/>
      <c r="AB27" s="427"/>
      <c r="AC27" s="427"/>
      <c r="AD27" s="427"/>
      <c r="AE27" s="427"/>
      <c r="AF27" s="427"/>
      <c r="AG27" s="431"/>
      <c r="AH27" s="428"/>
      <c r="AI27" s="428"/>
      <c r="AJ27" s="428"/>
      <c r="AK27" s="428"/>
      <c r="AL27" s="428"/>
      <c r="AM27" s="428"/>
      <c r="AN27" s="428"/>
      <c r="AO27" s="429"/>
      <c r="AP27" s="429"/>
      <c r="AQ27" s="89"/>
    </row>
    <row r="28" spans="1:43" ht="13.15" customHeight="1" x14ac:dyDescent="0.2">
      <c r="A28" s="20"/>
      <c r="B28" s="424"/>
      <c r="C28" s="28"/>
      <c r="D28" s="27"/>
      <c r="E28" s="320"/>
      <c r="F28" s="124"/>
      <c r="G28" s="124"/>
      <c r="H28" s="124"/>
      <c r="I28" s="124"/>
      <c r="J28" s="354"/>
      <c r="K28" s="321"/>
      <c r="L28" s="124"/>
      <c r="M28" s="124"/>
      <c r="N28" s="354"/>
      <c r="O28" s="110"/>
      <c r="P28" s="110"/>
      <c r="Q28" s="80"/>
      <c r="R28" s="80"/>
      <c r="S28" s="94"/>
      <c r="T28" s="95"/>
      <c r="U28" s="96"/>
      <c r="V28" s="658"/>
      <c r="W28" s="430" t="s">
        <v>296</v>
      </c>
      <c r="X28" s="427"/>
      <c r="Y28" s="427"/>
      <c r="Z28" s="427"/>
      <c r="AA28" s="427"/>
      <c r="AB28" s="427"/>
      <c r="AC28" s="427"/>
      <c r="AD28" s="427"/>
      <c r="AE28" s="427"/>
      <c r="AF28" s="427"/>
      <c r="AG28" s="427"/>
      <c r="AH28" s="428"/>
      <c r="AI28" s="428"/>
      <c r="AJ28" s="428"/>
      <c r="AK28" s="428"/>
      <c r="AL28" s="428"/>
      <c r="AM28" s="428"/>
      <c r="AN28" s="428"/>
      <c r="AO28" s="429"/>
      <c r="AP28" s="429"/>
      <c r="AQ28" s="89"/>
    </row>
    <row r="29" spans="1:43" ht="13.15" customHeight="1" x14ac:dyDescent="0.2">
      <c r="A29" s="19" t="s">
        <v>249</v>
      </c>
      <c r="B29" s="60"/>
      <c r="C29" s="24"/>
      <c r="D29" s="24"/>
      <c r="E29" s="358"/>
      <c r="F29" s="436"/>
      <c r="G29" s="436"/>
      <c r="H29" s="436"/>
      <c r="I29" s="436"/>
      <c r="J29" s="436"/>
      <c r="K29" s="361"/>
      <c r="L29" s="436"/>
      <c r="M29" s="436"/>
      <c r="N29" s="437"/>
      <c r="O29" s="97"/>
      <c r="P29" s="97"/>
      <c r="Q29" s="401"/>
      <c r="R29" s="444"/>
      <c r="S29" s="445"/>
      <c r="T29" s="91"/>
      <c r="U29" s="92"/>
      <c r="V29" s="658"/>
      <c r="W29" s="426">
        <v>150</v>
      </c>
      <c r="X29" s="427"/>
      <c r="Y29" s="427"/>
      <c r="Z29" s="427"/>
      <c r="AA29" s="427"/>
      <c r="AB29" s="427"/>
      <c r="AC29" s="427"/>
      <c r="AD29" s="427"/>
      <c r="AE29" s="427"/>
      <c r="AF29" s="427"/>
      <c r="AG29" s="427"/>
      <c r="AH29" s="427"/>
      <c r="AI29" s="428"/>
      <c r="AJ29" s="428"/>
      <c r="AK29" s="428"/>
      <c r="AL29" s="428"/>
      <c r="AM29" s="428"/>
      <c r="AN29" s="428"/>
      <c r="AO29" s="429"/>
      <c r="AP29" s="429"/>
      <c r="AQ29" s="89"/>
    </row>
    <row r="30" spans="1:43" ht="13.15" customHeight="1" x14ac:dyDescent="0.2">
      <c r="A30" s="19" t="s">
        <v>250</v>
      </c>
      <c r="B30" s="60"/>
      <c r="C30" s="24"/>
      <c r="D30" s="24"/>
      <c r="E30" s="155"/>
      <c r="F30" s="432"/>
      <c r="G30" s="432"/>
      <c r="H30" s="432"/>
      <c r="I30" s="432"/>
      <c r="J30" s="433"/>
      <c r="K30" s="182"/>
      <c r="L30" s="432"/>
      <c r="M30" s="432"/>
      <c r="N30" s="433"/>
      <c r="O30" s="98"/>
      <c r="P30" s="98"/>
      <c r="Q30" s="347"/>
      <c r="R30" s="446"/>
      <c r="S30" s="447"/>
      <c r="U30" s="89"/>
      <c r="V30" s="658"/>
      <c r="W30" s="426">
        <v>200</v>
      </c>
      <c r="X30" s="427"/>
      <c r="Y30" s="427"/>
      <c r="Z30" s="427"/>
      <c r="AA30" s="427"/>
      <c r="AB30" s="427"/>
      <c r="AC30" s="427"/>
      <c r="AD30" s="427"/>
      <c r="AE30" s="427"/>
      <c r="AF30" s="427"/>
      <c r="AG30" s="427"/>
      <c r="AH30" s="427"/>
      <c r="AI30" s="427"/>
      <c r="AJ30" s="428"/>
      <c r="AK30" s="428"/>
      <c r="AL30" s="428"/>
      <c r="AM30" s="428"/>
      <c r="AN30" s="428"/>
      <c r="AO30" s="429"/>
      <c r="AP30" s="429"/>
      <c r="AQ30" s="89"/>
    </row>
    <row r="31" spans="1:43" ht="13.15" customHeight="1" x14ac:dyDescent="0.2">
      <c r="A31" s="19"/>
      <c r="B31" s="60"/>
      <c r="C31" s="210"/>
      <c r="D31" s="210"/>
      <c r="E31" s="155"/>
      <c r="F31" s="432"/>
      <c r="G31" s="432"/>
      <c r="H31" s="432"/>
      <c r="I31" s="432"/>
      <c r="J31" s="433"/>
      <c r="K31" s="182"/>
      <c r="L31" s="432"/>
      <c r="M31" s="432"/>
      <c r="N31" s="433"/>
      <c r="O31" s="98"/>
      <c r="P31" s="98"/>
      <c r="Q31" s="347"/>
      <c r="R31" s="446"/>
      <c r="S31" s="447"/>
      <c r="U31" s="89"/>
      <c r="V31" s="658"/>
      <c r="W31" s="426">
        <v>250</v>
      </c>
      <c r="X31" s="427"/>
      <c r="Y31" s="427"/>
      <c r="Z31" s="427"/>
      <c r="AA31" s="427"/>
      <c r="AB31" s="427"/>
      <c r="AC31" s="427"/>
      <c r="AD31" s="427"/>
      <c r="AE31" s="427"/>
      <c r="AF31" s="427"/>
      <c r="AG31" s="427"/>
      <c r="AH31" s="427"/>
      <c r="AI31" s="427"/>
      <c r="AJ31" s="427"/>
      <c r="AK31" s="428"/>
      <c r="AL31" s="428"/>
      <c r="AM31" s="428"/>
      <c r="AN31" s="428"/>
      <c r="AO31" s="429"/>
      <c r="AP31" s="429"/>
      <c r="AQ31" s="89"/>
    </row>
    <row r="32" spans="1:43" ht="13.15" customHeight="1" x14ac:dyDescent="0.2">
      <c r="A32" s="19"/>
      <c r="B32" s="60"/>
      <c r="C32" s="210"/>
      <c r="D32" s="210"/>
      <c r="E32" s="155"/>
      <c r="F32" s="432"/>
      <c r="G32" s="432"/>
      <c r="H32" s="432"/>
      <c r="I32" s="432"/>
      <c r="J32" s="433"/>
      <c r="K32" s="182"/>
      <c r="L32" s="432"/>
      <c r="M32" s="432"/>
      <c r="N32" s="433"/>
      <c r="O32" s="98"/>
      <c r="P32" s="98"/>
      <c r="Q32" s="347"/>
      <c r="R32" s="446"/>
      <c r="S32" s="447"/>
      <c r="U32" s="89"/>
      <c r="V32" s="658"/>
      <c r="W32" s="426">
        <v>300</v>
      </c>
      <c r="X32" s="427"/>
      <c r="Y32" s="427"/>
      <c r="Z32" s="427"/>
      <c r="AA32" s="427"/>
      <c r="AB32" s="427"/>
      <c r="AC32" s="427"/>
      <c r="AD32" s="427"/>
      <c r="AE32" s="427"/>
      <c r="AF32" s="427"/>
      <c r="AG32" s="427"/>
      <c r="AH32" s="427"/>
      <c r="AI32" s="427"/>
      <c r="AJ32" s="427"/>
      <c r="AK32" s="427"/>
      <c r="AL32" s="428"/>
      <c r="AM32" s="428"/>
      <c r="AN32" s="428"/>
      <c r="AO32" s="429"/>
      <c r="AP32" s="429"/>
      <c r="AQ32" s="89"/>
    </row>
    <row r="33" spans="1:43" ht="13.15" customHeight="1" x14ac:dyDescent="0.2">
      <c r="A33" s="19" t="s">
        <v>256</v>
      </c>
      <c r="B33" s="60"/>
      <c r="C33" s="24"/>
      <c r="D33" s="24"/>
      <c r="E33" s="155"/>
      <c r="F33" s="432"/>
      <c r="G33" s="432"/>
      <c r="H33" s="432"/>
      <c r="I33" s="432"/>
      <c r="J33" s="433"/>
      <c r="K33" s="182"/>
      <c r="L33" s="432"/>
      <c r="M33" s="432"/>
      <c r="N33" s="433"/>
      <c r="O33" s="98"/>
      <c r="P33" s="98"/>
      <c r="Q33" s="347"/>
      <c r="R33" s="446"/>
      <c r="S33" s="447"/>
      <c r="T33" s="60"/>
      <c r="U33" s="89"/>
      <c r="V33" s="658"/>
      <c r="W33" s="426">
        <v>350</v>
      </c>
      <c r="X33" s="427"/>
      <c r="Y33" s="427"/>
      <c r="Z33" s="427"/>
      <c r="AA33" s="427"/>
      <c r="AB33" s="427"/>
      <c r="AC33" s="427"/>
      <c r="AD33" s="427"/>
      <c r="AE33" s="427"/>
      <c r="AF33" s="427"/>
      <c r="AG33" s="427"/>
      <c r="AH33" s="427"/>
      <c r="AI33" s="427"/>
      <c r="AJ33" s="427"/>
      <c r="AK33" s="427"/>
      <c r="AL33" s="427"/>
      <c r="AM33" s="428"/>
      <c r="AN33" s="428"/>
      <c r="AO33" s="429"/>
      <c r="AP33" s="429"/>
      <c r="AQ33" s="89"/>
    </row>
    <row r="34" spans="1:43" ht="13.15" customHeight="1" x14ac:dyDescent="0.2">
      <c r="A34" s="19"/>
      <c r="B34" s="60"/>
      <c r="C34" s="24"/>
      <c r="D34" s="24"/>
      <c r="E34" s="155"/>
      <c r="F34" s="432"/>
      <c r="G34" s="432"/>
      <c r="H34" s="432"/>
      <c r="I34" s="432"/>
      <c r="J34" s="433"/>
      <c r="K34" s="182"/>
      <c r="L34" s="432"/>
      <c r="M34" s="432"/>
      <c r="N34" s="433"/>
      <c r="O34" s="165"/>
      <c r="P34" s="98"/>
      <c r="Q34" s="347"/>
      <c r="R34" s="446"/>
      <c r="S34" s="447"/>
      <c r="T34" s="60"/>
      <c r="U34" s="89"/>
      <c r="V34" s="658"/>
      <c r="W34" s="426">
        <v>400</v>
      </c>
      <c r="X34" s="427"/>
      <c r="Y34" s="427"/>
      <c r="Z34" s="427"/>
      <c r="AA34" s="427"/>
      <c r="AB34" s="427"/>
      <c r="AC34" s="427"/>
      <c r="AD34" s="427"/>
      <c r="AE34" s="427"/>
      <c r="AF34" s="427"/>
      <c r="AG34" s="427"/>
      <c r="AH34" s="448"/>
      <c r="AI34" s="448"/>
      <c r="AJ34" s="448"/>
      <c r="AK34" s="448"/>
      <c r="AL34" s="448"/>
      <c r="AM34" s="448"/>
      <c r="AN34" s="428"/>
      <c r="AO34" s="429"/>
      <c r="AP34" s="429"/>
      <c r="AQ34" s="89"/>
    </row>
    <row r="35" spans="1:43" ht="13.15" customHeight="1" x14ac:dyDescent="0.2">
      <c r="A35" s="19"/>
      <c r="B35" s="60"/>
      <c r="C35" s="24"/>
      <c r="D35" s="24"/>
      <c r="E35" s="155"/>
      <c r="F35" s="432"/>
      <c r="G35" s="432"/>
      <c r="H35" s="432"/>
      <c r="I35" s="432"/>
      <c r="J35" s="433"/>
      <c r="K35" s="182"/>
      <c r="L35" s="432"/>
      <c r="M35" s="432"/>
      <c r="N35" s="433"/>
      <c r="O35" s="165"/>
      <c r="P35" s="98"/>
      <c r="Q35" s="347"/>
      <c r="R35" s="446"/>
      <c r="S35" s="447"/>
      <c r="U35" s="89"/>
      <c r="V35" s="658"/>
      <c r="W35" s="426">
        <v>450</v>
      </c>
      <c r="X35" s="427"/>
      <c r="Y35" s="427"/>
      <c r="Z35" s="427"/>
      <c r="AA35" s="427"/>
      <c r="AB35" s="427"/>
      <c r="AC35" s="427"/>
      <c r="AD35" s="427"/>
      <c r="AE35" s="427"/>
      <c r="AF35" s="427"/>
      <c r="AG35" s="427"/>
      <c r="AH35" s="427"/>
      <c r="AI35" s="448"/>
      <c r="AJ35" s="448"/>
      <c r="AK35" s="448"/>
      <c r="AL35" s="448"/>
      <c r="AM35" s="448"/>
      <c r="AN35" s="448"/>
      <c r="AO35" s="429"/>
      <c r="AP35" s="429"/>
      <c r="AQ35" s="89"/>
    </row>
    <row r="36" spans="1:43" ht="13.15" customHeight="1" x14ac:dyDescent="0.2">
      <c r="A36" s="19"/>
      <c r="B36" s="60"/>
      <c r="C36" s="24"/>
      <c r="D36" s="24"/>
      <c r="E36" s="155"/>
      <c r="F36" s="432"/>
      <c r="G36" s="432"/>
      <c r="H36" s="432"/>
      <c r="I36" s="432"/>
      <c r="J36" s="433"/>
      <c r="K36" s="182"/>
      <c r="L36" s="432"/>
      <c r="M36" s="432"/>
      <c r="N36" s="433"/>
      <c r="O36" s="98"/>
      <c r="P36" s="98"/>
      <c r="Q36" s="347"/>
      <c r="R36" s="446"/>
      <c r="S36" s="447"/>
      <c r="U36" s="89"/>
      <c r="V36" s="658"/>
      <c r="W36" s="426">
        <v>500</v>
      </c>
      <c r="X36" s="427"/>
      <c r="Y36" s="427"/>
      <c r="Z36" s="427"/>
      <c r="AA36" s="427"/>
      <c r="AB36" s="427"/>
      <c r="AC36" s="427"/>
      <c r="AD36" s="427"/>
      <c r="AE36" s="427"/>
      <c r="AF36" s="427"/>
      <c r="AG36" s="427"/>
      <c r="AH36" s="427"/>
      <c r="AI36" s="427"/>
      <c r="AJ36" s="427"/>
      <c r="AK36" s="427"/>
      <c r="AL36" s="427"/>
      <c r="AM36" s="427"/>
      <c r="AN36" s="427"/>
      <c r="AO36" s="427"/>
      <c r="AP36" s="429"/>
      <c r="AQ36" s="89"/>
    </row>
    <row r="37" spans="1:43" ht="13.15" customHeight="1" x14ac:dyDescent="0.2">
      <c r="A37" s="19" t="s">
        <v>258</v>
      </c>
      <c r="B37" s="60"/>
      <c r="C37" s="24"/>
      <c r="D37" s="24"/>
      <c r="E37" s="155"/>
      <c r="F37" s="432"/>
      <c r="G37" s="432"/>
      <c r="H37" s="432"/>
      <c r="I37" s="432"/>
      <c r="J37" s="433"/>
      <c r="K37" s="182"/>
      <c r="L37" s="432"/>
      <c r="M37" s="432"/>
      <c r="N37" s="433"/>
      <c r="O37" s="98"/>
      <c r="P37" s="98"/>
      <c r="Q37" s="347"/>
      <c r="R37" s="446"/>
      <c r="S37" s="447"/>
      <c r="U37" s="89"/>
      <c r="V37" s="658"/>
      <c r="W37" s="426">
        <v>600</v>
      </c>
      <c r="X37" s="427"/>
      <c r="Y37" s="427"/>
      <c r="Z37" s="427"/>
      <c r="AA37" s="427"/>
      <c r="AB37" s="427"/>
      <c r="AC37" s="427"/>
      <c r="AD37" s="427"/>
      <c r="AE37" s="427"/>
      <c r="AF37" s="427"/>
      <c r="AG37" s="427"/>
      <c r="AH37" s="427"/>
      <c r="AI37" s="427"/>
      <c r="AJ37" s="427"/>
      <c r="AK37" s="427"/>
      <c r="AL37" s="427"/>
      <c r="AM37" s="427"/>
      <c r="AN37" s="427"/>
      <c r="AO37" s="427"/>
      <c r="AP37" s="427"/>
      <c r="AQ37" s="89"/>
    </row>
    <row r="38" spans="1:43" ht="13.15" customHeight="1" x14ac:dyDescent="0.2">
      <c r="A38" s="19"/>
      <c r="B38" s="60"/>
      <c r="C38" s="24"/>
      <c r="D38" s="24"/>
      <c r="E38" s="155"/>
      <c r="F38" s="432"/>
      <c r="G38" s="432"/>
      <c r="H38" s="432"/>
      <c r="I38" s="432"/>
      <c r="J38" s="433"/>
      <c r="K38" s="321"/>
      <c r="L38" s="449"/>
      <c r="M38" s="449"/>
      <c r="N38" s="450"/>
      <c r="O38" s="98"/>
      <c r="P38" s="98"/>
      <c r="Q38" s="353"/>
      <c r="R38" s="451"/>
      <c r="S38" s="94"/>
      <c r="T38" s="95"/>
      <c r="U38" s="96"/>
      <c r="V38" s="452"/>
      <c r="W38" s="421"/>
      <c r="X38" s="421">
        <v>15</v>
      </c>
      <c r="Y38" s="453" t="s">
        <v>642</v>
      </c>
      <c r="Z38" s="421">
        <v>25</v>
      </c>
      <c r="AA38" s="453" t="s">
        <v>643</v>
      </c>
      <c r="AB38" s="421">
        <v>40</v>
      </c>
      <c r="AC38" s="421">
        <v>50</v>
      </c>
      <c r="AD38" s="453" t="s">
        <v>295</v>
      </c>
      <c r="AE38" s="421">
        <v>80</v>
      </c>
      <c r="AF38" s="421">
        <v>100</v>
      </c>
      <c r="AG38" s="453" t="s">
        <v>296</v>
      </c>
      <c r="AH38" s="421">
        <v>150</v>
      </c>
      <c r="AI38" s="421">
        <v>200</v>
      </c>
      <c r="AJ38" s="421">
        <v>250</v>
      </c>
      <c r="AK38" s="421">
        <v>300</v>
      </c>
      <c r="AL38" s="421">
        <v>350</v>
      </c>
      <c r="AM38" s="421">
        <v>400</v>
      </c>
      <c r="AN38" s="421">
        <v>450</v>
      </c>
      <c r="AO38" s="421">
        <v>500</v>
      </c>
      <c r="AP38" s="421">
        <v>600</v>
      </c>
      <c r="AQ38" s="89"/>
    </row>
    <row r="39" spans="1:43" ht="13.15" customHeight="1" x14ac:dyDescent="0.2">
      <c r="A39" s="26" t="s">
        <v>317</v>
      </c>
      <c r="B39" s="454"/>
      <c r="C39" s="29"/>
      <c r="D39" s="25"/>
      <c r="E39" s="358"/>
      <c r="F39" s="436"/>
      <c r="G39" s="436"/>
      <c r="H39" s="436"/>
      <c r="I39" s="436"/>
      <c r="J39" s="437"/>
      <c r="K39" s="361"/>
      <c r="L39" s="436"/>
      <c r="M39" s="436"/>
      <c r="N39" s="437"/>
      <c r="O39" s="97"/>
      <c r="P39" s="97"/>
      <c r="Q39" s="362"/>
      <c r="R39" s="438"/>
      <c r="S39" s="455"/>
      <c r="T39" s="456"/>
      <c r="U39" s="457"/>
      <c r="V39" s="21"/>
      <c r="W39" s="61"/>
      <c r="X39" s="769" t="s">
        <v>275</v>
      </c>
      <c r="Y39" s="660"/>
      <c r="Z39" s="660"/>
      <c r="AA39" s="660"/>
      <c r="AB39" s="660"/>
      <c r="AC39" s="660"/>
      <c r="AD39" s="660"/>
      <c r="AE39" s="660"/>
      <c r="AF39" s="660"/>
      <c r="AG39" s="660"/>
      <c r="AH39" s="660"/>
      <c r="AI39" s="660"/>
      <c r="AJ39" s="660"/>
      <c r="AK39" s="660"/>
      <c r="AL39" s="660"/>
      <c r="AM39" s="660"/>
      <c r="AN39" s="660"/>
      <c r="AO39" s="660"/>
      <c r="AP39" s="660"/>
      <c r="AQ39" s="89"/>
    </row>
    <row r="40" spans="1:43" ht="13.15" customHeight="1" x14ac:dyDescent="0.2">
      <c r="A40" s="19"/>
      <c r="B40" s="60"/>
      <c r="C40" s="24"/>
      <c r="D40" s="23"/>
      <c r="E40" s="155"/>
      <c r="F40" s="432"/>
      <c r="G40" s="432"/>
      <c r="H40" s="432"/>
      <c r="I40" s="432"/>
      <c r="J40" s="433"/>
      <c r="K40" s="182"/>
      <c r="L40" s="432"/>
      <c r="M40" s="432"/>
      <c r="N40" s="433"/>
      <c r="O40" s="98"/>
      <c r="P40" s="98"/>
      <c r="Q40" s="347"/>
      <c r="R40" s="446"/>
      <c r="S40" s="458"/>
      <c r="T40" s="459"/>
      <c r="U40" s="460"/>
      <c r="V40" s="21"/>
      <c r="W40" s="421"/>
      <c r="AQ40" s="89"/>
    </row>
    <row r="41" spans="1:43" ht="13.15" customHeight="1" x14ac:dyDescent="0.2">
      <c r="A41" s="20"/>
      <c r="B41" s="424"/>
      <c r="C41" s="28"/>
      <c r="D41" s="27"/>
      <c r="E41" s="320"/>
      <c r="F41" s="124"/>
      <c r="G41" s="124"/>
      <c r="H41" s="124"/>
      <c r="I41" s="124"/>
      <c r="J41" s="354"/>
      <c r="K41" s="321"/>
      <c r="L41" s="124"/>
      <c r="M41" s="124"/>
      <c r="N41" s="354"/>
      <c r="O41" s="110"/>
      <c r="P41" s="99"/>
      <c r="Q41" s="80"/>
      <c r="R41" s="80"/>
      <c r="S41" s="94"/>
      <c r="T41" s="95"/>
      <c r="U41" s="96"/>
      <c r="V41" s="21"/>
      <c r="X41" s="421"/>
      <c r="Y41" s="453"/>
      <c r="Z41" s="421"/>
      <c r="AA41" s="453"/>
      <c r="AB41" s="421"/>
      <c r="AC41" s="421"/>
      <c r="AD41" s="453"/>
      <c r="AE41" s="421"/>
      <c r="AF41" s="421"/>
      <c r="AG41" s="453"/>
      <c r="AH41" s="421"/>
      <c r="AI41" s="421"/>
      <c r="AJ41" s="421"/>
      <c r="AK41" s="421"/>
      <c r="AL41" s="421"/>
      <c r="AM41" s="421"/>
      <c r="AN41" s="421"/>
      <c r="AO41" s="421"/>
      <c r="AP41" s="421"/>
      <c r="AQ41" s="89"/>
    </row>
    <row r="42" spans="1:43" ht="13.15" customHeight="1" x14ac:dyDescent="0.2">
      <c r="A42" s="19" t="s">
        <v>215</v>
      </c>
      <c r="B42" s="60"/>
      <c r="C42" s="24"/>
      <c r="D42" s="24"/>
      <c r="E42" s="358"/>
      <c r="F42" s="436"/>
      <c r="G42" s="436"/>
      <c r="H42" s="436"/>
      <c r="I42" s="436"/>
      <c r="J42" s="437"/>
      <c r="K42" s="361"/>
      <c r="L42" s="436"/>
      <c r="M42" s="436"/>
      <c r="N42" s="437"/>
      <c r="O42" s="97"/>
      <c r="P42" s="97"/>
      <c r="Q42" s="362"/>
      <c r="R42" s="438"/>
      <c r="S42" s="109"/>
      <c r="T42" s="91"/>
      <c r="U42" s="92"/>
      <c r="V42" s="657" t="s">
        <v>274</v>
      </c>
      <c r="W42" s="118">
        <v>700</v>
      </c>
      <c r="X42" s="139"/>
      <c r="Y42" s="147"/>
      <c r="Z42" s="137"/>
      <c r="AA42" s="461"/>
      <c r="AB42" s="461"/>
      <c r="AC42" s="461"/>
      <c r="AD42" s="461"/>
      <c r="AE42" s="461"/>
      <c r="AF42" s="461"/>
      <c r="AG42" s="461"/>
      <c r="AH42" s="461"/>
      <c r="AI42" s="461"/>
      <c r="AJ42" s="461"/>
      <c r="AK42" s="461"/>
      <c r="AL42" s="461"/>
      <c r="AM42" s="461"/>
      <c r="AN42" s="461"/>
      <c r="AQ42" s="89"/>
    </row>
    <row r="43" spans="1:43" ht="13.15" customHeight="1" x14ac:dyDescent="0.2">
      <c r="A43" s="19"/>
      <c r="B43" s="60"/>
      <c r="C43" s="24"/>
      <c r="D43" s="24"/>
      <c r="E43" s="155"/>
      <c r="F43" s="432"/>
      <c r="G43" s="432"/>
      <c r="H43" s="432"/>
      <c r="I43" s="432"/>
      <c r="J43" s="433"/>
      <c r="K43" s="182"/>
      <c r="L43" s="432"/>
      <c r="M43" s="432"/>
      <c r="N43" s="433"/>
      <c r="O43" s="98"/>
      <c r="P43" s="98"/>
      <c r="Q43" s="347"/>
      <c r="R43" s="434"/>
      <c r="S43" s="88"/>
      <c r="U43" s="89"/>
      <c r="V43" s="658"/>
      <c r="W43" s="1">
        <v>800</v>
      </c>
      <c r="X43" s="139"/>
      <c r="Y43" s="139"/>
      <c r="Z43" s="137"/>
      <c r="AA43" s="428"/>
      <c r="AB43" s="428"/>
      <c r="AC43" s="428"/>
      <c r="AD43" s="428"/>
      <c r="AE43" s="428"/>
      <c r="AQ43" s="89"/>
    </row>
    <row r="44" spans="1:43" ht="13.15" customHeight="1" x14ac:dyDescent="0.2">
      <c r="A44" s="20"/>
      <c r="B44" s="424"/>
      <c r="C44" s="28"/>
      <c r="D44" s="28"/>
      <c r="E44" s="320"/>
      <c r="F44" s="124"/>
      <c r="G44" s="124"/>
      <c r="H44" s="124"/>
      <c r="I44" s="124"/>
      <c r="J44" s="354"/>
      <c r="K44" s="321"/>
      <c r="L44" s="124"/>
      <c r="M44" s="124"/>
      <c r="N44" s="354"/>
      <c r="O44" s="110"/>
      <c r="P44" s="110"/>
      <c r="Q44" s="80"/>
      <c r="R44" s="80"/>
      <c r="S44" s="94"/>
      <c r="T44" s="95"/>
      <c r="U44" s="96"/>
      <c r="V44" s="658"/>
      <c r="W44" s="1">
        <v>900</v>
      </c>
      <c r="X44" s="139"/>
      <c r="Y44" s="139"/>
      <c r="Z44" s="139"/>
      <c r="AA44" s="421"/>
      <c r="AB44" s="421"/>
      <c r="AQ44" s="89"/>
    </row>
    <row r="45" spans="1:43" ht="13.15" customHeight="1" x14ac:dyDescent="0.2">
      <c r="A45" s="19" t="s">
        <v>214</v>
      </c>
      <c r="B45" s="60"/>
      <c r="C45" s="24"/>
      <c r="D45" s="24"/>
      <c r="E45" s="155"/>
      <c r="F45" s="432"/>
      <c r="G45" s="432"/>
      <c r="H45" s="432"/>
      <c r="I45" s="432"/>
      <c r="J45" s="433"/>
      <c r="K45" s="361"/>
      <c r="L45" s="436"/>
      <c r="M45" s="436"/>
      <c r="N45" s="436"/>
      <c r="O45" s="97"/>
      <c r="P45" s="97"/>
      <c r="Q45" s="362"/>
      <c r="R45" s="438"/>
      <c r="S45" s="109"/>
      <c r="T45" s="91"/>
      <c r="U45" s="92"/>
      <c r="V45" s="658"/>
      <c r="W45"/>
      <c r="X45">
        <v>700</v>
      </c>
      <c r="Y45">
        <v>800</v>
      </c>
      <c r="Z45">
        <v>900</v>
      </c>
      <c r="AQ45" s="89"/>
    </row>
    <row r="46" spans="1:43" ht="13.15" customHeight="1" x14ac:dyDescent="0.2">
      <c r="A46" s="19"/>
      <c r="B46" s="60"/>
      <c r="C46" s="24"/>
      <c r="D46" s="23"/>
      <c r="E46" s="155"/>
      <c r="F46" s="432"/>
      <c r="G46" s="432"/>
      <c r="H46" s="432"/>
      <c r="I46" s="432"/>
      <c r="J46" s="433"/>
      <c r="K46" s="182"/>
      <c r="L46" s="432"/>
      <c r="M46" s="432"/>
      <c r="N46" s="433"/>
      <c r="O46" s="98"/>
      <c r="P46" s="98"/>
      <c r="Q46" s="347"/>
      <c r="R46" s="434"/>
      <c r="S46" s="88"/>
      <c r="U46" s="89"/>
      <c r="V46" s="21"/>
      <c r="W46"/>
      <c r="X46" s="659" t="s">
        <v>275</v>
      </c>
      <c r="Y46" s="660"/>
      <c r="Z46" s="660"/>
      <c r="AA46" s="421"/>
      <c r="AB46" s="421"/>
      <c r="AC46" s="421"/>
      <c r="AD46" s="421"/>
      <c r="AE46" s="421"/>
      <c r="AQ46" s="89"/>
    </row>
    <row r="47" spans="1:43" ht="13.15" customHeight="1" x14ac:dyDescent="0.2">
      <c r="A47" s="19"/>
      <c r="B47" s="60"/>
      <c r="C47" s="28"/>
      <c r="D47" s="27"/>
      <c r="E47" s="320"/>
      <c r="F47" s="124"/>
      <c r="G47" s="124"/>
      <c r="H47" s="124"/>
      <c r="I47" s="124"/>
      <c r="J47" s="354"/>
      <c r="K47" s="321"/>
      <c r="L47" s="124"/>
      <c r="M47" s="124"/>
      <c r="N47" s="354"/>
      <c r="O47" s="110"/>
      <c r="P47" s="110"/>
      <c r="Q47" s="80"/>
      <c r="R47" s="80"/>
      <c r="S47" s="94"/>
      <c r="T47" s="95"/>
      <c r="U47" s="96"/>
      <c r="V47" s="452"/>
      <c r="W47" s="421"/>
      <c r="X47" s="461"/>
      <c r="Y47" s="421"/>
      <c r="Z47" s="421"/>
      <c r="AA47" s="428"/>
      <c r="AB47" s="428"/>
      <c r="AC47" s="428"/>
      <c r="AD47" s="428"/>
      <c r="AE47" s="428"/>
      <c r="AQ47" s="89"/>
    </row>
    <row r="48" spans="1:43" ht="13.15" customHeight="1" x14ac:dyDescent="0.2">
      <c r="A48" s="26" t="s">
        <v>213</v>
      </c>
      <c r="B48" s="435"/>
      <c r="C48" s="24"/>
      <c r="D48" s="24"/>
      <c r="E48" s="358"/>
      <c r="F48" s="436"/>
      <c r="G48" s="436"/>
      <c r="H48" s="436"/>
      <c r="I48" s="436"/>
      <c r="J48" s="437"/>
      <c r="K48" s="361"/>
      <c r="L48" s="436"/>
      <c r="M48" s="436"/>
      <c r="N48" s="436"/>
      <c r="O48" s="97"/>
      <c r="P48" s="97"/>
      <c r="Q48" s="362"/>
      <c r="R48" s="438"/>
      <c r="S48" s="109"/>
      <c r="T48" s="91"/>
      <c r="U48" s="92"/>
      <c r="V48" s="452"/>
      <c r="W48" s="453"/>
      <c r="AA48" s="428"/>
      <c r="AB48" s="428"/>
      <c r="AC48" s="428"/>
      <c r="AD48" s="428"/>
      <c r="AE48" s="428"/>
      <c r="AQ48" s="89"/>
    </row>
    <row r="49" spans="1:43" ht="13.15" customHeight="1" x14ac:dyDescent="0.2">
      <c r="A49" s="19"/>
      <c r="B49" s="60"/>
      <c r="C49" s="24"/>
      <c r="D49" s="24"/>
      <c r="E49" s="155"/>
      <c r="F49" s="432"/>
      <c r="G49" s="432"/>
      <c r="H49" s="432"/>
      <c r="I49" s="432"/>
      <c r="J49" s="433"/>
      <c r="K49" s="182"/>
      <c r="L49" s="432"/>
      <c r="M49" s="432"/>
      <c r="N49" s="432"/>
      <c r="O49" s="98"/>
      <c r="P49" s="98"/>
      <c r="Q49" s="347"/>
      <c r="R49" s="434"/>
      <c r="S49" s="88"/>
      <c r="U49" s="89"/>
      <c r="V49" s="21"/>
      <c r="AQ49" s="89"/>
    </row>
    <row r="50" spans="1:43" ht="13.15" customHeight="1" x14ac:dyDescent="0.2">
      <c r="A50" s="20"/>
      <c r="B50" s="424"/>
      <c r="C50" s="28"/>
      <c r="D50" s="28"/>
      <c r="E50" s="320"/>
      <c r="F50" s="124"/>
      <c r="G50" s="124"/>
      <c r="H50" s="124"/>
      <c r="I50" s="124"/>
      <c r="J50" s="354"/>
      <c r="K50" s="321"/>
      <c r="L50" s="124"/>
      <c r="M50" s="124"/>
      <c r="N50" s="124"/>
      <c r="O50" s="110"/>
      <c r="P50" s="110"/>
      <c r="Q50" s="80"/>
      <c r="R50" s="80"/>
      <c r="S50" s="94"/>
      <c r="T50" s="95"/>
      <c r="U50" s="96"/>
      <c r="V50" s="21"/>
      <c r="AQ50" s="89"/>
    </row>
    <row r="51" spans="1:43" ht="13.15" customHeight="1" x14ac:dyDescent="0.2">
      <c r="A51" s="19" t="s">
        <v>264</v>
      </c>
      <c r="B51" s="60"/>
      <c r="C51" s="24" t="s">
        <v>313</v>
      </c>
      <c r="D51" s="24" t="s">
        <v>314</v>
      </c>
      <c r="E51" s="561" t="s">
        <v>500</v>
      </c>
      <c r="F51" s="728"/>
      <c r="G51" s="728"/>
      <c r="H51" s="728"/>
      <c r="I51" s="728"/>
      <c r="J51" s="729"/>
      <c r="K51" s="564" t="s">
        <v>644</v>
      </c>
      <c r="L51" s="728"/>
      <c r="M51" s="728"/>
      <c r="N51" s="729"/>
      <c r="O51" s="97" t="s">
        <v>656</v>
      </c>
      <c r="P51" s="165" t="s">
        <v>257</v>
      </c>
      <c r="Q51" s="783" t="s">
        <v>311</v>
      </c>
      <c r="R51" s="782"/>
      <c r="S51" s="109"/>
      <c r="T51" s="91"/>
      <c r="U51" s="92"/>
      <c r="V51" s="452"/>
      <c r="AQ51" s="89"/>
    </row>
    <row r="52" spans="1:43" ht="13.15" customHeight="1" x14ac:dyDescent="0.2">
      <c r="A52" s="20"/>
      <c r="B52" s="424"/>
      <c r="C52" s="28"/>
      <c r="D52" s="28"/>
      <c r="E52" s="320"/>
      <c r="F52" s="449"/>
      <c r="G52" s="449"/>
      <c r="H52" s="449"/>
      <c r="I52" s="449"/>
      <c r="J52" s="450"/>
      <c r="K52" s="321"/>
      <c r="L52" s="449"/>
      <c r="M52" s="449"/>
      <c r="N52" s="450"/>
      <c r="O52" s="146"/>
      <c r="P52" s="146"/>
      <c r="Q52" s="351"/>
      <c r="R52" s="451"/>
      <c r="S52" s="93"/>
      <c r="U52" s="89"/>
      <c r="V52" s="21"/>
      <c r="AQ52" s="89"/>
    </row>
    <row r="53" spans="1:43" ht="13.15" customHeight="1" x14ac:dyDescent="0.2">
      <c r="A53" s="19" t="s">
        <v>212</v>
      </c>
      <c r="B53" s="60"/>
      <c r="C53" s="29" t="s">
        <v>313</v>
      </c>
      <c r="D53" s="29" t="s">
        <v>314</v>
      </c>
      <c r="E53" s="561" t="s">
        <v>501</v>
      </c>
      <c r="F53" s="728"/>
      <c r="G53" s="728"/>
      <c r="H53" s="728"/>
      <c r="I53" s="728"/>
      <c r="J53" s="729"/>
      <c r="K53" s="564" t="s">
        <v>645</v>
      </c>
      <c r="L53" s="728"/>
      <c r="M53" s="728"/>
      <c r="N53" s="729"/>
      <c r="O53" s="97" t="s">
        <v>656</v>
      </c>
      <c r="P53" s="97" t="s">
        <v>257</v>
      </c>
      <c r="Q53" s="565" t="s">
        <v>316</v>
      </c>
      <c r="R53" s="782"/>
      <c r="S53" s="109"/>
      <c r="T53" s="91"/>
      <c r="U53" s="92"/>
      <c r="V53" s="21"/>
      <c r="AQ53" s="89"/>
    </row>
    <row r="54" spans="1:43" ht="13.15" customHeight="1" x14ac:dyDescent="0.2">
      <c r="A54" s="20"/>
      <c r="B54" s="424"/>
      <c r="C54" s="28"/>
      <c r="D54" s="28"/>
      <c r="E54" s="320"/>
      <c r="F54" s="449"/>
      <c r="G54" s="449"/>
      <c r="H54" s="449"/>
      <c r="I54" s="449"/>
      <c r="J54" s="450"/>
      <c r="K54" s="321"/>
      <c r="L54" s="449"/>
      <c r="M54" s="449"/>
      <c r="N54" s="450"/>
      <c r="O54" s="146"/>
      <c r="P54" s="146"/>
      <c r="Q54" s="351"/>
      <c r="R54" s="451"/>
      <c r="S54" s="93"/>
      <c r="U54" s="89"/>
      <c r="V54" s="21"/>
      <c r="W54" s="310"/>
      <c r="X54" s="310"/>
      <c r="Y54" s="482"/>
      <c r="Z54" s="482"/>
      <c r="AA54" s="482"/>
      <c r="AB54" s="482"/>
      <c r="AC54" s="482"/>
      <c r="AD54" s="482"/>
      <c r="AE54" s="310"/>
      <c r="AF54" s="482"/>
      <c r="AG54" s="482"/>
      <c r="AH54" s="482"/>
      <c r="AI54" s="310"/>
      <c r="AJ54" s="310"/>
      <c r="AK54" s="310"/>
      <c r="AL54" s="482"/>
      <c r="AM54" s="310"/>
      <c r="AN54" s="434"/>
      <c r="AO54" s="434"/>
      <c r="AP54" s="482"/>
      <c r="AQ54" s="89"/>
    </row>
    <row r="55" spans="1:43" ht="13.15" customHeight="1" x14ac:dyDescent="0.2">
      <c r="A55" s="19" t="s">
        <v>211</v>
      </c>
      <c r="B55" s="60"/>
      <c r="C55" s="29">
        <v>15</v>
      </c>
      <c r="D55" s="25">
        <v>600</v>
      </c>
      <c r="E55" s="561" t="s">
        <v>273</v>
      </c>
      <c r="F55" s="728"/>
      <c r="G55" s="728"/>
      <c r="H55" s="728"/>
      <c r="I55" s="728"/>
      <c r="J55" s="729"/>
      <c r="K55" s="564" t="s">
        <v>667</v>
      </c>
      <c r="L55" s="728"/>
      <c r="M55" s="728"/>
      <c r="N55" s="729"/>
      <c r="O55" s="97" t="s">
        <v>656</v>
      </c>
      <c r="P55" s="97"/>
      <c r="Q55" s="565" t="s">
        <v>312</v>
      </c>
      <c r="R55" s="782"/>
      <c r="S55" s="109" t="s">
        <v>666</v>
      </c>
      <c r="T55" s="91"/>
      <c r="U55" s="92"/>
      <c r="V55" s="21"/>
      <c r="W55" s="624" t="s">
        <v>259</v>
      </c>
      <c r="X55" s="551" t="s">
        <v>197</v>
      </c>
      <c r="Y55" s="552"/>
      <c r="Z55" s="552"/>
      <c r="AA55" s="552"/>
      <c r="AB55" s="552"/>
      <c r="AC55" s="552"/>
      <c r="AD55" s="553"/>
      <c r="AE55" s="557" t="s">
        <v>241</v>
      </c>
      <c r="AF55" s="552"/>
      <c r="AG55" s="552"/>
      <c r="AH55" s="553"/>
      <c r="AI55" s="559" t="s">
        <v>243</v>
      </c>
      <c r="AJ55" s="559" t="s">
        <v>242</v>
      </c>
      <c r="AK55" s="557" t="s">
        <v>244</v>
      </c>
      <c r="AL55" s="553"/>
      <c r="AM55" s="557" t="s">
        <v>245</v>
      </c>
      <c r="AN55" s="626"/>
      <c r="AO55" s="626"/>
      <c r="AP55" s="627"/>
      <c r="AQ55" s="89"/>
    </row>
    <row r="56" spans="1:43" ht="13.15" customHeight="1" x14ac:dyDescent="0.2">
      <c r="A56" s="19"/>
      <c r="B56" s="60"/>
      <c r="C56" s="23"/>
      <c r="D56" s="23"/>
      <c r="E56" s="583"/>
      <c r="F56" s="778"/>
      <c r="G56" s="778"/>
      <c r="H56" s="778"/>
      <c r="I56" s="778"/>
      <c r="J56" s="779"/>
      <c r="K56" s="584"/>
      <c r="L56" s="778"/>
      <c r="M56" s="778"/>
      <c r="N56" s="779"/>
      <c r="O56" s="98"/>
      <c r="P56" s="98"/>
      <c r="Q56" s="585"/>
      <c r="R56" s="784"/>
      <c r="S56" s="93"/>
      <c r="U56" s="89"/>
      <c r="V56" s="21"/>
      <c r="W56" s="625"/>
      <c r="X56" s="554"/>
      <c r="Y56" s="555"/>
      <c r="Z56" s="555"/>
      <c r="AA56" s="555"/>
      <c r="AB56" s="555"/>
      <c r="AC56" s="555"/>
      <c r="AD56" s="556"/>
      <c r="AE56" s="558"/>
      <c r="AF56" s="555"/>
      <c r="AG56" s="555"/>
      <c r="AH56" s="556"/>
      <c r="AI56" s="560"/>
      <c r="AJ56" s="560"/>
      <c r="AK56" s="558"/>
      <c r="AL56" s="556"/>
      <c r="AM56" s="628"/>
      <c r="AN56" s="586"/>
      <c r="AO56" s="586"/>
      <c r="AP56" s="629"/>
      <c r="AQ56" s="89"/>
    </row>
    <row r="57" spans="1:43" ht="13.15" customHeight="1" x14ac:dyDescent="0.2">
      <c r="A57" s="20"/>
      <c r="B57" s="424"/>
      <c r="C57" s="27"/>
      <c r="D57" s="27"/>
      <c r="E57" s="320"/>
      <c r="F57" s="449"/>
      <c r="G57" s="449"/>
      <c r="H57" s="449"/>
      <c r="I57" s="449"/>
      <c r="J57" s="450"/>
      <c r="K57" s="321"/>
      <c r="L57" s="449"/>
      <c r="M57" s="449"/>
      <c r="N57" s="450"/>
      <c r="O57" s="110"/>
      <c r="P57" s="110"/>
      <c r="Q57" s="353"/>
      <c r="R57" s="516"/>
      <c r="S57" s="369"/>
      <c r="T57" s="95"/>
      <c r="U57" s="96"/>
      <c r="V57" s="21"/>
      <c r="W57" s="128"/>
      <c r="X57" s="630"/>
      <c r="Y57" s="552"/>
      <c r="Z57" s="552"/>
      <c r="AA57" s="552"/>
      <c r="AB57" s="552"/>
      <c r="AC57" s="552"/>
      <c r="AD57" s="553"/>
      <c r="AE57" s="572"/>
      <c r="AF57" s="562"/>
      <c r="AG57" s="562"/>
      <c r="AH57" s="563"/>
      <c r="AI57" s="126"/>
      <c r="AJ57" s="126"/>
      <c r="AK57" s="575"/>
      <c r="AL57" s="576"/>
      <c r="AM57" s="802"/>
      <c r="AN57" s="552"/>
      <c r="AO57" s="552"/>
      <c r="AP57" s="627"/>
      <c r="AQ57" s="89"/>
    </row>
    <row r="58" spans="1:43" ht="13.15" customHeight="1" x14ac:dyDescent="0.2">
      <c r="A58" s="375" t="s">
        <v>547</v>
      </c>
      <c r="B58" s="462"/>
      <c r="C58" s="376" t="s">
        <v>313</v>
      </c>
      <c r="D58" s="376" t="s">
        <v>314</v>
      </c>
      <c r="E58" s="587" t="s">
        <v>624</v>
      </c>
      <c r="F58" s="785"/>
      <c r="G58" s="785"/>
      <c r="H58" s="785"/>
      <c r="I58" s="785"/>
      <c r="J58" s="786"/>
      <c r="K58" s="590" t="s">
        <v>625</v>
      </c>
      <c r="L58" s="785"/>
      <c r="M58" s="785"/>
      <c r="N58" s="786"/>
      <c r="O58" s="97" t="s">
        <v>656</v>
      </c>
      <c r="P58" s="377"/>
      <c r="Q58" s="591" t="s">
        <v>549</v>
      </c>
      <c r="R58" s="787"/>
      <c r="S58" s="378"/>
      <c r="T58" s="379"/>
      <c r="U58" s="380"/>
      <c r="V58" s="21"/>
      <c r="W58" s="128"/>
      <c r="X58" s="546"/>
      <c r="Y58" s="747"/>
      <c r="Z58" s="747"/>
      <c r="AA58" s="747"/>
      <c r="AB58" s="747"/>
      <c r="AC58" s="747"/>
      <c r="AD58" s="748"/>
      <c r="AE58" s="541"/>
      <c r="AF58" s="778"/>
      <c r="AG58" s="778"/>
      <c r="AH58" s="779"/>
      <c r="AI58" s="126"/>
      <c r="AJ58" s="126"/>
      <c r="AK58" s="544"/>
      <c r="AL58" s="780"/>
      <c r="AM58" s="88"/>
      <c r="AP58" s="130"/>
      <c r="AQ58" s="89"/>
    </row>
    <row r="59" spans="1:43" ht="13.15" customHeight="1" x14ac:dyDescent="0.2">
      <c r="A59" s="26" t="s">
        <v>278</v>
      </c>
      <c r="B59" s="60"/>
      <c r="C59" s="24" t="s">
        <v>210</v>
      </c>
      <c r="D59" s="25">
        <v>40</v>
      </c>
      <c r="E59" s="561" t="s">
        <v>507</v>
      </c>
      <c r="F59" s="595"/>
      <c r="G59" s="595"/>
      <c r="H59" s="595"/>
      <c r="I59" s="595"/>
      <c r="J59" s="596"/>
      <c r="K59" s="597" t="s">
        <v>450</v>
      </c>
      <c r="L59" s="598"/>
      <c r="M59" s="598"/>
      <c r="N59" s="599"/>
      <c r="O59" s="97" t="s">
        <v>341</v>
      </c>
      <c r="P59" s="97" t="s">
        <v>283</v>
      </c>
      <c r="Q59" s="565" t="s">
        <v>266</v>
      </c>
      <c r="R59" s="566"/>
      <c r="S59" s="90"/>
      <c r="T59" s="91"/>
      <c r="U59" s="92"/>
      <c r="V59" s="21"/>
      <c r="W59" s="128"/>
      <c r="X59" s="546"/>
      <c r="Y59" s="747"/>
      <c r="Z59" s="747"/>
      <c r="AA59" s="747"/>
      <c r="AB59" s="747"/>
      <c r="AC59" s="747"/>
      <c r="AD59" s="748"/>
      <c r="AE59" s="541"/>
      <c r="AF59" s="778"/>
      <c r="AG59" s="778"/>
      <c r="AH59" s="779"/>
      <c r="AI59" s="126"/>
      <c r="AJ59" s="126"/>
      <c r="AK59" s="544"/>
      <c r="AL59" s="780"/>
      <c r="AM59" s="88"/>
      <c r="AP59" s="130"/>
      <c r="AQ59" s="89"/>
    </row>
    <row r="60" spans="1:43" ht="13.15" customHeight="1" x14ac:dyDescent="0.2">
      <c r="A60" s="178" t="s">
        <v>279</v>
      </c>
      <c r="B60" s="374"/>
      <c r="C60" s="24">
        <v>50</v>
      </c>
      <c r="D60" s="23">
        <v>80</v>
      </c>
      <c r="E60" s="583" t="s">
        <v>511</v>
      </c>
      <c r="F60" s="600"/>
      <c r="G60" s="600"/>
      <c r="H60" s="600"/>
      <c r="I60" s="600"/>
      <c r="J60" s="601"/>
      <c r="K60" s="616" t="s">
        <v>450</v>
      </c>
      <c r="L60" s="788"/>
      <c r="M60" s="788"/>
      <c r="N60" s="789"/>
      <c r="O60" s="98" t="s">
        <v>308</v>
      </c>
      <c r="P60" s="98" t="s">
        <v>283</v>
      </c>
      <c r="Q60" s="585" t="s">
        <v>266</v>
      </c>
      <c r="R60" s="615"/>
      <c r="S60" s="88"/>
      <c r="U60" s="89"/>
      <c r="V60" s="21"/>
      <c r="W60" s="128"/>
      <c r="X60" s="546"/>
      <c r="Y60" s="747"/>
      <c r="Z60" s="747"/>
      <c r="AA60" s="747"/>
      <c r="AB60" s="747"/>
      <c r="AC60" s="747"/>
      <c r="AD60" s="748"/>
      <c r="AE60" s="541"/>
      <c r="AF60" s="778"/>
      <c r="AG60" s="778"/>
      <c r="AH60" s="779"/>
      <c r="AI60" s="126"/>
      <c r="AJ60" s="126"/>
      <c r="AK60" s="544"/>
      <c r="AL60" s="780"/>
      <c r="AM60" s="88"/>
      <c r="AP60" s="130"/>
      <c r="AQ60" s="89"/>
    </row>
    <row r="61" spans="1:43" ht="13.15" customHeight="1" x14ac:dyDescent="0.2">
      <c r="A61" s="178" t="s">
        <v>280</v>
      </c>
      <c r="B61" s="374"/>
      <c r="C61" s="24">
        <v>100</v>
      </c>
      <c r="D61" s="23">
        <v>600</v>
      </c>
      <c r="E61" s="583" t="s">
        <v>509</v>
      </c>
      <c r="F61" s="600"/>
      <c r="G61" s="600"/>
      <c r="H61" s="600"/>
      <c r="I61" s="600"/>
      <c r="J61" s="601"/>
      <c r="K61" s="616" t="s">
        <v>450</v>
      </c>
      <c r="L61" s="617"/>
      <c r="M61" s="617"/>
      <c r="N61" s="618"/>
      <c r="O61" s="98" t="s">
        <v>308</v>
      </c>
      <c r="P61" s="98" t="s">
        <v>283</v>
      </c>
      <c r="Q61" s="585" t="s">
        <v>266</v>
      </c>
      <c r="R61" s="615"/>
      <c r="S61" s="88"/>
      <c r="U61" s="89"/>
      <c r="V61" s="21"/>
      <c r="W61" s="128"/>
      <c r="X61" s="546"/>
      <c r="Y61" s="747"/>
      <c r="Z61" s="747"/>
      <c r="AA61" s="747"/>
      <c r="AB61" s="747"/>
      <c r="AC61" s="747"/>
      <c r="AD61" s="748"/>
      <c r="AE61" s="541"/>
      <c r="AF61" s="778"/>
      <c r="AG61" s="778"/>
      <c r="AH61" s="779"/>
      <c r="AI61" s="126"/>
      <c r="AJ61" s="126"/>
      <c r="AK61" s="544"/>
      <c r="AL61" s="780"/>
      <c r="AM61" s="88"/>
      <c r="AP61" s="130"/>
      <c r="AQ61" s="89"/>
    </row>
    <row r="62" spans="1:43" ht="13.15" customHeight="1" x14ac:dyDescent="0.2">
      <c r="A62" s="178" t="s">
        <v>281</v>
      </c>
      <c r="B62" s="374"/>
      <c r="C62" s="24"/>
      <c r="D62" s="23"/>
      <c r="E62" s="155"/>
      <c r="F62" s="80"/>
      <c r="G62" s="80"/>
      <c r="H62" s="80"/>
      <c r="I62" s="80"/>
      <c r="J62" s="80"/>
      <c r="K62" s="80"/>
      <c r="L62" s="80"/>
      <c r="M62" s="80"/>
      <c r="N62" s="80"/>
      <c r="O62" s="80"/>
      <c r="P62" s="80"/>
      <c r="Q62" s="80"/>
      <c r="R62" s="80"/>
      <c r="S62" s="88"/>
      <c r="U62" s="89"/>
      <c r="V62" s="21"/>
      <c r="W62" s="128"/>
      <c r="X62" s="260"/>
      <c r="Y62" s="432"/>
      <c r="Z62" s="432"/>
      <c r="AA62" s="432"/>
      <c r="AB62" s="432"/>
      <c r="AE62" s="541"/>
      <c r="AF62" s="778"/>
      <c r="AG62" s="778"/>
      <c r="AH62" s="779"/>
      <c r="AI62" s="126"/>
      <c r="AJ62" s="126"/>
      <c r="AK62" s="544"/>
      <c r="AL62" s="780"/>
      <c r="AM62" s="88"/>
      <c r="AP62" s="130"/>
      <c r="AQ62" s="89"/>
    </row>
    <row r="63" spans="1:43" ht="13.15" customHeight="1" x14ac:dyDescent="0.2">
      <c r="A63" s="178" t="s">
        <v>282</v>
      </c>
      <c r="B63" s="374"/>
      <c r="C63" s="23"/>
      <c r="D63" s="22"/>
      <c r="E63" s="155"/>
      <c r="F63" s="80"/>
      <c r="G63" s="80"/>
      <c r="H63" s="80"/>
      <c r="I63" s="80"/>
      <c r="J63" s="80"/>
      <c r="K63" s="80"/>
      <c r="L63" s="80"/>
      <c r="M63" s="80"/>
      <c r="N63" s="80"/>
      <c r="O63" s="80"/>
      <c r="P63" s="80"/>
      <c r="Q63" s="80"/>
      <c r="R63" s="80"/>
      <c r="S63" s="94"/>
      <c r="T63" s="95"/>
      <c r="U63" s="96"/>
      <c r="V63" s="21"/>
      <c r="W63" s="132"/>
      <c r="X63" s="94"/>
      <c r="Y63" s="95"/>
      <c r="Z63" s="95"/>
      <c r="AA63" s="95"/>
      <c r="AB63" s="95"/>
      <c r="AC63" s="95"/>
      <c r="AD63" s="133"/>
      <c r="AE63" s="134"/>
      <c r="AF63" s="95"/>
      <c r="AG63" s="95"/>
      <c r="AH63" s="133"/>
      <c r="AI63" s="135"/>
      <c r="AJ63" s="135"/>
      <c r="AK63" s="134"/>
      <c r="AL63" s="131"/>
      <c r="AM63" s="95"/>
      <c r="AN63" s="95"/>
      <c r="AO63" s="95"/>
      <c r="AP63" s="131"/>
      <c r="AQ63" s="89"/>
    </row>
    <row r="64" spans="1:43" ht="13.15" customHeight="1" x14ac:dyDescent="0.2">
      <c r="A64" s="741" t="s">
        <v>646</v>
      </c>
      <c r="B64" s="742"/>
      <c r="C64" s="790"/>
      <c r="D64" s="790"/>
      <c r="E64" s="790"/>
      <c r="F64" s="790"/>
      <c r="G64" s="790"/>
      <c r="H64" s="790"/>
      <c r="I64" s="790"/>
      <c r="J64" s="790"/>
      <c r="K64" s="790"/>
      <c r="L64" s="790"/>
      <c r="M64" s="790"/>
      <c r="N64" s="790"/>
      <c r="O64" s="790"/>
      <c r="P64" s="790"/>
      <c r="Q64" s="790"/>
      <c r="R64" s="791"/>
      <c r="S64" s="327" t="s">
        <v>479</v>
      </c>
      <c r="T64" s="91"/>
      <c r="U64" s="92"/>
      <c r="V64" s="21"/>
      <c r="AQ64" s="89"/>
    </row>
    <row r="65" spans="1:43" ht="13.15" customHeight="1" x14ac:dyDescent="0.2">
      <c r="A65" s="792"/>
      <c r="B65" s="793"/>
      <c r="C65" s="793"/>
      <c r="D65" s="793"/>
      <c r="E65" s="793"/>
      <c r="F65" s="793"/>
      <c r="G65" s="793"/>
      <c r="H65" s="793"/>
      <c r="I65" s="793"/>
      <c r="J65" s="793"/>
      <c r="K65" s="793"/>
      <c r="L65" s="793"/>
      <c r="M65" s="793"/>
      <c r="N65" s="793"/>
      <c r="O65" s="793"/>
      <c r="P65" s="793"/>
      <c r="Q65" s="793"/>
      <c r="R65" s="794"/>
      <c r="S65" s="93" t="s">
        <v>480</v>
      </c>
      <c r="U65" s="89"/>
      <c r="V65" s="21"/>
      <c r="AQ65" s="89"/>
    </row>
    <row r="66" spans="1:43" ht="13.15" customHeight="1" x14ac:dyDescent="0.2">
      <c r="A66" s="792"/>
      <c r="B66" s="793"/>
      <c r="C66" s="793"/>
      <c r="D66" s="793"/>
      <c r="E66" s="793"/>
      <c r="F66" s="793"/>
      <c r="G66" s="793"/>
      <c r="H66" s="793"/>
      <c r="I66" s="793"/>
      <c r="J66" s="793"/>
      <c r="K66" s="793"/>
      <c r="L66" s="793"/>
      <c r="M66" s="793"/>
      <c r="N66" s="793"/>
      <c r="O66" s="793"/>
      <c r="P66" s="793"/>
      <c r="Q66" s="793"/>
      <c r="R66" s="794"/>
      <c r="S66" s="93" t="s">
        <v>486</v>
      </c>
      <c r="U66" s="89"/>
      <c r="V66" s="21"/>
      <c r="AQ66" s="89"/>
    </row>
    <row r="67" spans="1:43" ht="13.15" customHeight="1" x14ac:dyDescent="0.2">
      <c r="A67" s="792"/>
      <c r="B67" s="793"/>
      <c r="C67" s="793"/>
      <c r="D67" s="793"/>
      <c r="E67" s="793"/>
      <c r="F67" s="793"/>
      <c r="G67" s="793"/>
      <c r="H67" s="793"/>
      <c r="I67" s="793"/>
      <c r="J67" s="793"/>
      <c r="K67" s="793"/>
      <c r="L67" s="793"/>
      <c r="M67" s="793"/>
      <c r="N67" s="793"/>
      <c r="O67" s="793"/>
      <c r="P67" s="793"/>
      <c r="Q67" s="793"/>
      <c r="R67" s="794"/>
      <c r="S67" s="93" t="s">
        <v>487</v>
      </c>
      <c r="U67" s="89"/>
      <c r="V67" s="21"/>
      <c r="AQ67" s="89"/>
    </row>
    <row r="68" spans="1:43" ht="13.15" customHeight="1" x14ac:dyDescent="0.2">
      <c r="A68" s="792"/>
      <c r="B68" s="793"/>
      <c r="C68" s="793"/>
      <c r="D68" s="793"/>
      <c r="E68" s="793"/>
      <c r="F68" s="793"/>
      <c r="G68" s="793"/>
      <c r="H68" s="793"/>
      <c r="I68" s="793"/>
      <c r="J68" s="793"/>
      <c r="K68" s="793"/>
      <c r="L68" s="793"/>
      <c r="M68" s="793"/>
      <c r="N68" s="793"/>
      <c r="O68" s="793"/>
      <c r="P68" s="793"/>
      <c r="Q68" s="793"/>
      <c r="R68" s="794"/>
      <c r="S68" s="93" t="s">
        <v>488</v>
      </c>
      <c r="U68" s="89"/>
      <c r="V68" s="21"/>
      <c r="AQ68" s="89"/>
    </row>
    <row r="69" spans="1:43" ht="13.15" customHeight="1" x14ac:dyDescent="0.2">
      <c r="A69" s="795"/>
      <c r="B69" s="796"/>
      <c r="C69" s="796"/>
      <c r="D69" s="796"/>
      <c r="E69" s="796"/>
      <c r="F69" s="796"/>
      <c r="G69" s="796"/>
      <c r="H69" s="796"/>
      <c r="I69" s="796"/>
      <c r="J69" s="796"/>
      <c r="K69" s="796"/>
      <c r="L69" s="796"/>
      <c r="M69" s="796"/>
      <c r="N69" s="796"/>
      <c r="O69" s="796"/>
      <c r="P69" s="796"/>
      <c r="Q69" s="796"/>
      <c r="R69" s="797"/>
      <c r="S69" s="60" t="s">
        <v>499</v>
      </c>
      <c r="U69" s="89"/>
      <c r="V69" s="21"/>
      <c r="AQ69" s="89"/>
    </row>
    <row r="70" spans="1:43" ht="13.15" customHeight="1" x14ac:dyDescent="0.2">
      <c r="A70" s="26" t="s">
        <v>260</v>
      </c>
      <c r="B70" s="435"/>
      <c r="C70" s="583" t="s">
        <v>269</v>
      </c>
      <c r="D70" s="602"/>
      <c r="E70" s="602"/>
      <c r="F70" s="602"/>
      <c r="G70" s="602"/>
      <c r="H70" s="602"/>
      <c r="I70" s="602"/>
      <c r="J70" s="602"/>
      <c r="K70" s="602"/>
      <c r="L70" s="602"/>
      <c r="M70" s="602"/>
      <c r="N70" s="602"/>
      <c r="O70" s="602"/>
      <c r="P70" s="602"/>
      <c r="Q70" s="602"/>
      <c r="R70" s="602"/>
      <c r="S70" s="93" t="s">
        <v>498</v>
      </c>
      <c r="U70" s="89"/>
      <c r="V70" s="21"/>
      <c r="AQ70" s="89"/>
    </row>
    <row r="71" spans="1:43" ht="13.15" customHeight="1" x14ac:dyDescent="0.2">
      <c r="A71" s="375" t="s">
        <v>478</v>
      </c>
      <c r="B71" s="463"/>
      <c r="C71" s="587" t="s">
        <v>269</v>
      </c>
      <c r="D71" s="609"/>
      <c r="E71" s="609"/>
      <c r="F71" s="609"/>
      <c r="G71" s="609"/>
      <c r="H71" s="609"/>
      <c r="I71" s="609"/>
      <c r="J71" s="609"/>
      <c r="K71" s="609"/>
      <c r="L71" s="609"/>
      <c r="M71" s="609"/>
      <c r="N71" s="609"/>
      <c r="O71" s="609"/>
      <c r="P71" s="609"/>
      <c r="Q71" s="609"/>
      <c r="R71" s="609"/>
      <c r="S71" s="93" t="s">
        <v>489</v>
      </c>
      <c r="U71" s="89"/>
      <c r="V71" s="21"/>
      <c r="AQ71" s="89"/>
    </row>
    <row r="72" spans="1:43" ht="13.15" customHeight="1" x14ac:dyDescent="0.2">
      <c r="A72" s="19" t="s">
        <v>372</v>
      </c>
      <c r="B72" s="60"/>
      <c r="C72" s="583" t="s">
        <v>320</v>
      </c>
      <c r="D72" s="600"/>
      <c r="E72" s="600"/>
      <c r="F72" s="600"/>
      <c r="G72" s="600"/>
      <c r="H72" s="600"/>
      <c r="I72" s="600"/>
      <c r="J72" s="600"/>
      <c r="K72" s="600"/>
      <c r="L72" s="600"/>
      <c r="M72" s="600"/>
      <c r="N72" s="600"/>
      <c r="O72" s="600"/>
      <c r="P72" s="600"/>
      <c r="Q72" s="600"/>
      <c r="R72" s="600"/>
      <c r="S72" s="93" t="s">
        <v>490</v>
      </c>
      <c r="U72" s="89"/>
      <c r="V72" s="21"/>
      <c r="AQ72" s="89"/>
    </row>
    <row r="73" spans="1:43" ht="13.15" customHeight="1" x14ac:dyDescent="0.2">
      <c r="A73" s="19" t="s">
        <v>373</v>
      </c>
      <c r="B73" s="60"/>
      <c r="C73" s="610" t="s">
        <v>626</v>
      </c>
      <c r="D73" s="798"/>
      <c r="E73" s="798"/>
      <c r="F73" s="798"/>
      <c r="G73" s="798"/>
      <c r="H73" s="798"/>
      <c r="I73" s="798"/>
      <c r="J73" s="798"/>
      <c r="K73" s="798"/>
      <c r="L73" s="798"/>
      <c r="M73" s="798"/>
      <c r="N73" s="798"/>
      <c r="O73" s="798"/>
      <c r="P73" s="798"/>
      <c r="Q73" s="798"/>
      <c r="R73" s="799"/>
      <c r="S73" s="93" t="s">
        <v>491</v>
      </c>
      <c r="U73" s="89"/>
      <c r="V73" s="21"/>
      <c r="AQ73" s="89"/>
    </row>
    <row r="74" spans="1:43" ht="13.15" customHeight="1" x14ac:dyDescent="0.2">
      <c r="A74" s="19" t="s">
        <v>261</v>
      </c>
      <c r="B74" s="60"/>
      <c r="C74" s="610" t="s">
        <v>321</v>
      </c>
      <c r="D74" s="800"/>
      <c r="E74" s="800"/>
      <c r="F74" s="800"/>
      <c r="G74" s="800"/>
      <c r="H74" s="800"/>
      <c r="I74" s="800"/>
      <c r="J74" s="800"/>
      <c r="K74" s="800"/>
      <c r="L74" s="800"/>
      <c r="M74" s="800"/>
      <c r="N74" s="800"/>
      <c r="O74" s="800"/>
      <c r="P74" s="800"/>
      <c r="Q74" s="800"/>
      <c r="R74" s="801"/>
      <c r="S74" s="93" t="s">
        <v>492</v>
      </c>
      <c r="U74" s="89"/>
      <c r="V74" s="21"/>
      <c r="AQ74" s="89"/>
    </row>
    <row r="75" spans="1:43" ht="13.15" customHeight="1" x14ac:dyDescent="0.2">
      <c r="A75" s="19" t="s">
        <v>262</v>
      </c>
      <c r="B75" s="60"/>
      <c r="C75" s="583" t="s">
        <v>324</v>
      </c>
      <c r="D75" s="600"/>
      <c r="E75" s="600"/>
      <c r="F75" s="600"/>
      <c r="G75" s="600"/>
      <c r="H75" s="600"/>
      <c r="I75" s="600"/>
      <c r="J75" s="600"/>
      <c r="K75" s="600"/>
      <c r="L75" s="600"/>
      <c r="M75" s="600"/>
      <c r="N75" s="600"/>
      <c r="O75" s="600"/>
      <c r="P75" s="600"/>
      <c r="Q75" s="600"/>
      <c r="R75" s="600"/>
      <c r="S75" s="93" t="s">
        <v>493</v>
      </c>
      <c r="U75" s="89"/>
      <c r="V75" s="21"/>
      <c r="AQ75" s="89"/>
    </row>
    <row r="76" spans="1:43" ht="13.15" customHeight="1" x14ac:dyDescent="0.2">
      <c r="A76" s="19"/>
      <c r="B76" s="60"/>
      <c r="C76" s="583" t="s">
        <v>228</v>
      </c>
      <c r="D76" s="600"/>
      <c r="E76" s="600"/>
      <c r="F76" s="600"/>
      <c r="G76" s="600"/>
      <c r="H76" s="600"/>
      <c r="I76" s="600"/>
      <c r="J76" s="600"/>
      <c r="K76" s="600"/>
      <c r="L76" s="600"/>
      <c r="M76" s="600"/>
      <c r="N76" s="600"/>
      <c r="O76" s="600"/>
      <c r="P76" s="600"/>
      <c r="Q76" s="600"/>
      <c r="R76" s="600"/>
      <c r="S76" s="88"/>
      <c r="U76" s="89"/>
      <c r="V76" s="21"/>
      <c r="AQ76" s="89"/>
    </row>
    <row r="77" spans="1:43" ht="13.15" customHeight="1" thickBot="1" x14ac:dyDescent="0.25">
      <c r="A77" s="19"/>
      <c r="B77" s="60"/>
      <c r="C77" s="583" t="s">
        <v>270</v>
      </c>
      <c r="D77" s="602"/>
      <c r="E77" s="602"/>
      <c r="F77" s="602"/>
      <c r="G77" s="602"/>
      <c r="H77" s="602"/>
      <c r="I77" s="602"/>
      <c r="J77" s="602"/>
      <c r="K77" s="602"/>
      <c r="L77" s="602"/>
      <c r="M77" s="602"/>
      <c r="N77" s="602"/>
      <c r="O77" s="602"/>
      <c r="P77" s="602"/>
      <c r="Q77" s="602"/>
      <c r="R77" s="602"/>
      <c r="S77" s="326"/>
      <c r="T77" s="143"/>
      <c r="U77" s="144"/>
      <c r="V77" s="21"/>
      <c r="W77" s="143"/>
      <c r="X77" s="143"/>
      <c r="Y77" s="143"/>
      <c r="Z77" s="143"/>
      <c r="AA77" s="143"/>
      <c r="AB77" s="143"/>
      <c r="AC77" s="143"/>
      <c r="AD77" s="143"/>
      <c r="AE77" s="143"/>
      <c r="AF77" s="143"/>
      <c r="AG77" s="143"/>
      <c r="AH77" s="143"/>
      <c r="AI77" s="143"/>
      <c r="AJ77" s="143"/>
      <c r="AK77" s="143"/>
      <c r="AL77" s="143"/>
      <c r="AM77" s="143"/>
      <c r="AN77" s="143"/>
      <c r="AO77" s="143"/>
      <c r="AP77" s="143"/>
      <c r="AQ77" s="89"/>
    </row>
    <row r="78" spans="1:43" ht="13.15" customHeight="1" x14ac:dyDescent="0.2">
      <c r="A78" s="162" t="s">
        <v>209</v>
      </c>
      <c r="B78" s="464"/>
      <c r="C78" s="18" t="s">
        <v>208</v>
      </c>
      <c r="D78" s="16"/>
      <c r="E78" s="18" t="s">
        <v>207</v>
      </c>
      <c r="F78" s="18"/>
      <c r="G78" s="18" t="s">
        <v>206</v>
      </c>
      <c r="H78" s="17" t="e">
        <f>#REF!</f>
        <v>#REF!</v>
      </c>
      <c r="I78" s="16"/>
      <c r="J78" s="16"/>
      <c r="K78" s="16"/>
      <c r="L78" s="16"/>
      <c r="M78" s="16"/>
      <c r="N78" s="16"/>
      <c r="O78" s="16"/>
      <c r="P78" s="16"/>
      <c r="Q78" s="16"/>
      <c r="R78" s="16"/>
      <c r="S78" s="103"/>
      <c r="T78" s="103"/>
      <c r="U78" s="145"/>
      <c r="V78" s="162" t="s">
        <v>209</v>
      </c>
      <c r="W78" s="16"/>
      <c r="X78" s="465"/>
      <c r="Y78" s="18" t="s">
        <v>208</v>
      </c>
      <c r="Z78" s="16"/>
      <c r="AA78" s="18" t="s">
        <v>207</v>
      </c>
      <c r="AB78" s="18"/>
      <c r="AC78" s="18" t="s">
        <v>206</v>
      </c>
      <c r="AD78" s="17" t="e">
        <f>H78</f>
        <v>#REF!</v>
      </c>
      <c r="AE78" s="16"/>
      <c r="AF78" s="16"/>
      <c r="AG78" s="16"/>
      <c r="AH78" s="16"/>
      <c r="AI78" s="16"/>
      <c r="AJ78" s="16"/>
      <c r="AK78" s="16"/>
      <c r="AL78" s="16"/>
      <c r="AM78" s="16"/>
      <c r="AN78" s="103"/>
      <c r="AO78" s="103"/>
      <c r="AP78" s="103"/>
      <c r="AQ78" s="145"/>
    </row>
    <row r="79" spans="1:43" ht="13.15" customHeight="1" thickBot="1" x14ac:dyDescent="0.25">
      <c r="A79" s="159" t="str">
        <f>[2]Coversheet!C40</f>
        <v>Dominique Delavy</v>
      </c>
      <c r="B79" s="175"/>
      <c r="C79" s="603" t="e">
        <f>#REF!</f>
        <v>#REF!</v>
      </c>
      <c r="D79" s="604"/>
      <c r="E79" s="605" t="e">
        <f>#REF!</f>
        <v>#REF!</v>
      </c>
      <c r="F79" s="606"/>
      <c r="G79" s="15"/>
      <c r="H79" s="14"/>
      <c r="I79" s="14"/>
      <c r="J79" s="14"/>
      <c r="K79" s="14"/>
      <c r="L79" s="14"/>
      <c r="M79" s="14"/>
      <c r="N79" s="14"/>
      <c r="O79" s="14"/>
      <c r="P79" s="14"/>
      <c r="Q79" s="14"/>
      <c r="R79" s="14"/>
      <c r="S79" s="143"/>
      <c r="T79" s="143"/>
      <c r="U79" s="144"/>
      <c r="V79" s="121"/>
      <c r="W79" s="14" t="str">
        <f>A79</f>
        <v>Dominique Delavy</v>
      </c>
      <c r="X79" s="466"/>
      <c r="Y79" s="603" t="e">
        <f>C79</f>
        <v>#REF!</v>
      </c>
      <c r="Z79" s="803"/>
      <c r="AA79" s="605" t="e">
        <f>E79</f>
        <v>#REF!</v>
      </c>
      <c r="AB79" s="804"/>
      <c r="AC79" s="15"/>
      <c r="AD79" s="14"/>
      <c r="AE79" s="14"/>
      <c r="AF79" s="14"/>
      <c r="AG79" s="14"/>
      <c r="AH79" s="14"/>
      <c r="AI79" s="14"/>
      <c r="AJ79" s="14"/>
      <c r="AK79" s="14"/>
      <c r="AL79" s="14"/>
      <c r="AM79" s="14"/>
      <c r="AN79" s="143"/>
      <c r="AO79" s="143"/>
      <c r="AP79" s="143"/>
      <c r="AQ79" s="144"/>
    </row>
  </sheetData>
  <mergeCells count="97">
    <mergeCell ref="X57:AD57"/>
    <mergeCell ref="AE57:AH57"/>
    <mergeCell ref="AM57:AP57"/>
    <mergeCell ref="AK57:AL57"/>
    <mergeCell ref="Y79:Z79"/>
    <mergeCell ref="AA79:AB79"/>
    <mergeCell ref="AK61:AL61"/>
    <mergeCell ref="AK60:AL60"/>
    <mergeCell ref="AK59:AL59"/>
    <mergeCell ref="AK58:AL58"/>
    <mergeCell ref="C79:D79"/>
    <mergeCell ref="E79:F79"/>
    <mergeCell ref="AE62:AH62"/>
    <mergeCell ref="AK62:AL62"/>
    <mergeCell ref="A64:R69"/>
    <mergeCell ref="C70:R70"/>
    <mergeCell ref="C71:R71"/>
    <mergeCell ref="C72:R72"/>
    <mergeCell ref="C73:R73"/>
    <mergeCell ref="C74:R74"/>
    <mergeCell ref="C75:R75"/>
    <mergeCell ref="C76:R76"/>
    <mergeCell ref="C77:R77"/>
    <mergeCell ref="E61:J61"/>
    <mergeCell ref="K61:N61"/>
    <mergeCell ref="Q61:R61"/>
    <mergeCell ref="X61:AD61"/>
    <mergeCell ref="AE61:AH61"/>
    <mergeCell ref="E60:J60"/>
    <mergeCell ref="K60:N60"/>
    <mergeCell ref="Q60:R60"/>
    <mergeCell ref="X60:AD60"/>
    <mergeCell ref="AE60:AH60"/>
    <mergeCell ref="E58:J58"/>
    <mergeCell ref="K58:N58"/>
    <mergeCell ref="Q58:R58"/>
    <mergeCell ref="X58:AD58"/>
    <mergeCell ref="AE58:AH58"/>
    <mergeCell ref="E59:J59"/>
    <mergeCell ref="K59:N59"/>
    <mergeCell ref="Q59:R59"/>
    <mergeCell ref="X59:AD59"/>
    <mergeCell ref="AE59:AH59"/>
    <mergeCell ref="E56:J56"/>
    <mergeCell ref="K56:N56"/>
    <mergeCell ref="Q56:R56"/>
    <mergeCell ref="W55:W56"/>
    <mergeCell ref="X55:AD56"/>
    <mergeCell ref="E55:J55"/>
    <mergeCell ref="K55:N55"/>
    <mergeCell ref="Q55:R55"/>
    <mergeCell ref="AE55:AH56"/>
    <mergeCell ref="AI55:AI56"/>
    <mergeCell ref="AJ55:AJ56"/>
    <mergeCell ref="AK55:AL56"/>
    <mergeCell ref="AM55:AP56"/>
    <mergeCell ref="Q20:R20"/>
    <mergeCell ref="E21:J21"/>
    <mergeCell ref="Q17:R18"/>
    <mergeCell ref="E53:J53"/>
    <mergeCell ref="K53:N53"/>
    <mergeCell ref="Q53:R53"/>
    <mergeCell ref="K21:N21"/>
    <mergeCell ref="Q21:R21"/>
    <mergeCell ref="E51:J51"/>
    <mergeCell ref="K51:N51"/>
    <mergeCell ref="Q51:R51"/>
    <mergeCell ref="V42:V45"/>
    <mergeCell ref="X46:Z46"/>
    <mergeCell ref="C17:D17"/>
    <mergeCell ref="E17:J18"/>
    <mergeCell ref="K17:N18"/>
    <mergeCell ref="O17:O18"/>
    <mergeCell ref="P17:P18"/>
    <mergeCell ref="X39:AP39"/>
    <mergeCell ref="S17:U18"/>
    <mergeCell ref="X18:AP18"/>
    <mergeCell ref="E19:J19"/>
    <mergeCell ref="K19:N19"/>
    <mergeCell ref="Q19:R19"/>
    <mergeCell ref="V19:V37"/>
    <mergeCell ref="E20:J20"/>
    <mergeCell ref="K20:N20"/>
    <mergeCell ref="C10:U12"/>
    <mergeCell ref="V10:Y10"/>
    <mergeCell ref="V12:Y12"/>
    <mergeCell ref="V13:Y13"/>
    <mergeCell ref="C14:U16"/>
    <mergeCell ref="V14:Y14"/>
    <mergeCell ref="V15:Y15"/>
    <mergeCell ref="V16:Y16"/>
    <mergeCell ref="V9:Y9"/>
    <mergeCell ref="C7:D7"/>
    <mergeCell ref="F7:K7"/>
    <mergeCell ref="Y7:Z7"/>
    <mergeCell ref="AB7:AG7"/>
    <mergeCell ref="V8:Y8"/>
  </mergeCells>
  <pageMargins left="0.70866141732283472" right="0.15748031496062992" top="0.51181102362204722" bottom="0.43307086614173229" header="0.27559055118110237" footer="0.27559055118110237"/>
  <pageSetup paperSize="9" scale="75" pageOrder="overThenDown" orientation="portrait" r:id="rId1"/>
  <headerFooter alignWithMargins="0">
    <oddHeader>&amp;LPIRS Vorlagen-Projekt&amp;C&amp;8Project: Template&amp;R&amp;G</oddHeader>
    <oddFooter xml:space="preserve">&amp;L&amp;8 &amp;F _&amp;A&amp;R&amp;8Page &amp;P+8 of [&amp;N+8] </oddFooter>
  </headerFooter>
  <colBreaks count="1" manualBreakCount="1">
    <brk id="21" max="77" man="1"/>
  </col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3686B-FBAB-4A1F-8EB9-F1DB64243737}">
  <sheetPr codeName="Tabelle23"/>
  <dimension ref="A1:AQ80"/>
  <sheetViews>
    <sheetView showWhiteSpace="0" view="pageLayout" topLeftCell="A32" zoomScaleNormal="100" workbookViewId="0">
      <selection activeCell="K58" sqref="K58:N58"/>
    </sheetView>
  </sheetViews>
  <sheetFormatPr defaultColWidth="0" defaultRowHeight="12.75" x14ac:dyDescent="0.2"/>
  <cols>
    <col min="1" max="1" width="14.28515625" style="13" customWidth="1"/>
    <col min="2" max="2" width="3.5703125" style="13" customWidth="1"/>
    <col min="3" max="21" width="5.7109375" style="13" customWidth="1"/>
    <col min="22" max="22" width="4.140625" style="13" customWidth="1"/>
    <col min="23" max="23" width="6.140625" style="13" customWidth="1"/>
    <col min="24" max="42" width="5.7109375" style="13" customWidth="1"/>
    <col min="43" max="59" width="6.140625" style="13" customWidth="1"/>
    <col min="60" max="16384" width="0" style="13" hidden="1"/>
  </cols>
  <sheetData>
    <row r="1" spans="1:43" ht="13.15" customHeight="1" x14ac:dyDescent="0.2">
      <c r="A1" s="73"/>
      <c r="B1" s="72"/>
      <c r="C1" s="72"/>
      <c r="D1" s="71"/>
      <c r="E1" s="16"/>
      <c r="F1" s="16"/>
      <c r="G1" s="16"/>
      <c r="H1" s="16"/>
      <c r="I1" s="16"/>
      <c r="J1" s="16"/>
      <c r="K1" s="114" t="s">
        <v>253</v>
      </c>
      <c r="L1" s="116"/>
      <c r="M1" s="70"/>
      <c r="N1" s="16" t="s">
        <v>738</v>
      </c>
      <c r="O1" s="16" t="s">
        <v>737</v>
      </c>
      <c r="P1" s="16" t="s">
        <v>736</v>
      </c>
      <c r="Q1" s="69"/>
      <c r="R1" s="68" t="s">
        <v>230</v>
      </c>
      <c r="S1" s="68"/>
      <c r="T1" s="67" t="s">
        <v>343</v>
      </c>
      <c r="U1" s="66"/>
      <c r="V1" s="162"/>
      <c r="W1" s="16"/>
      <c r="X1" s="72"/>
      <c r="Y1" s="72"/>
      <c r="Z1" s="71"/>
      <c r="AA1" s="16"/>
      <c r="AB1" s="16"/>
      <c r="AC1" s="16"/>
      <c r="AD1" s="16"/>
      <c r="AE1" s="16"/>
      <c r="AF1" s="231"/>
      <c r="AG1" s="230" t="s">
        <v>253</v>
      </c>
      <c r="AH1" s="116"/>
      <c r="AI1" s="70"/>
      <c r="AJ1" s="16" t="str">
        <f>N1</f>
        <v>PT09</v>
      </c>
      <c r="AK1" s="16" t="str">
        <f>O1</f>
        <v>PT03</v>
      </c>
      <c r="AL1" s="16" t="str">
        <f>P1</f>
        <v>PT13</v>
      </c>
      <c r="AM1" s="69"/>
      <c r="AN1" s="68" t="s">
        <v>230</v>
      </c>
      <c r="AO1" s="68"/>
      <c r="AP1" s="67" t="str">
        <f>T1</f>
        <v>3E0 (1.0345)</v>
      </c>
      <c r="AQ1" s="66"/>
    </row>
    <row r="2" spans="1:43" ht="13.15" customHeight="1" x14ac:dyDescent="0.2">
      <c r="A2" s="63" t="s">
        <v>276</v>
      </c>
      <c r="B2" s="61"/>
      <c r="C2" s="62" t="s">
        <v>265</v>
      </c>
      <c r="D2" s="61"/>
      <c r="E2" s="60"/>
      <c r="F2" s="60"/>
      <c r="G2" s="60"/>
      <c r="H2" s="60"/>
      <c r="I2" s="60"/>
      <c r="J2" s="59"/>
      <c r="K2" s="100" t="s">
        <v>232</v>
      </c>
      <c r="L2" s="74"/>
      <c r="M2" s="81"/>
      <c r="N2" s="65"/>
      <c r="O2" s="65"/>
      <c r="P2" s="523">
        <v>17</v>
      </c>
      <c r="Q2" s="58" t="s">
        <v>231</v>
      </c>
      <c r="R2" s="65" t="s">
        <v>252</v>
      </c>
      <c r="S2" s="65"/>
      <c r="T2" s="81" t="s">
        <v>386</v>
      </c>
      <c r="U2" s="64"/>
      <c r="V2" s="19" t="s">
        <v>276</v>
      </c>
      <c r="W2" s="60"/>
      <c r="X2" s="61"/>
      <c r="Y2" s="62" t="str">
        <f>C2</f>
        <v>Condensate &amp; Steam (T &lt; 400°C)</v>
      </c>
      <c r="Z2" s="61"/>
      <c r="AA2" s="60"/>
      <c r="AB2" s="60"/>
      <c r="AC2" s="60"/>
      <c r="AD2" s="60"/>
      <c r="AE2" s="60"/>
      <c r="AF2" s="130"/>
      <c r="AG2" s="81" t="s">
        <v>232</v>
      </c>
      <c r="AH2" s="74"/>
      <c r="AI2" s="81"/>
      <c r="AJ2" s="65"/>
      <c r="AK2" s="65"/>
      <c r="AL2" s="523">
        <f>P2</f>
        <v>17</v>
      </c>
      <c r="AM2" s="58" t="s">
        <v>231</v>
      </c>
      <c r="AN2" s="65" t="s">
        <v>252</v>
      </c>
      <c r="AO2" s="65"/>
      <c r="AP2" s="81" t="str">
        <f>T2</f>
        <v>EN PN25</v>
      </c>
      <c r="AQ2" s="64"/>
    </row>
    <row r="3" spans="1:43" ht="13.15" customHeight="1" x14ac:dyDescent="0.2">
      <c r="A3" s="63"/>
      <c r="B3" s="61"/>
      <c r="C3" s="62"/>
      <c r="D3" s="61"/>
      <c r="E3" s="60"/>
      <c r="F3" s="60"/>
      <c r="G3" s="60"/>
      <c r="H3" s="60"/>
      <c r="I3" s="60"/>
      <c r="J3" s="59"/>
      <c r="K3" s="100" t="s">
        <v>233</v>
      </c>
      <c r="L3" s="75"/>
      <c r="M3" s="101"/>
      <c r="N3" s="65"/>
      <c r="O3" s="65"/>
      <c r="P3" s="523">
        <v>350</v>
      </c>
      <c r="Q3" s="58" t="s">
        <v>223</v>
      </c>
      <c r="R3" s="76" t="s">
        <v>229</v>
      </c>
      <c r="S3" s="77"/>
      <c r="T3" s="81" t="s">
        <v>227</v>
      </c>
      <c r="U3" s="57"/>
      <c r="V3" s="51"/>
      <c r="W3" s="80"/>
      <c r="X3" s="61"/>
      <c r="Y3" s="62"/>
      <c r="Z3" s="61"/>
      <c r="AA3" s="60"/>
      <c r="AB3" s="60"/>
      <c r="AC3" s="60"/>
      <c r="AD3" s="60"/>
      <c r="AE3" s="60"/>
      <c r="AF3" s="130"/>
      <c r="AG3" s="81" t="s">
        <v>233</v>
      </c>
      <c r="AH3" s="75"/>
      <c r="AI3" s="101"/>
      <c r="AJ3" s="65"/>
      <c r="AK3" s="65"/>
      <c r="AL3" s="523">
        <f>P3</f>
        <v>350</v>
      </c>
      <c r="AM3" s="58" t="s">
        <v>223</v>
      </c>
      <c r="AN3" s="76" t="s">
        <v>229</v>
      </c>
      <c r="AO3" s="77"/>
      <c r="AP3" s="81" t="str">
        <f>T3</f>
        <v>seamless</v>
      </c>
      <c r="AQ3" s="57"/>
    </row>
    <row r="4" spans="1:43" ht="13.15" customHeight="1" thickBot="1" x14ac:dyDescent="0.25">
      <c r="A4" s="56"/>
      <c r="B4" s="55"/>
      <c r="C4" s="55"/>
      <c r="D4" s="54"/>
      <c r="E4" s="53"/>
      <c r="F4" s="53"/>
      <c r="G4" s="53"/>
      <c r="H4" s="14"/>
      <c r="I4" s="14"/>
      <c r="J4" s="52"/>
      <c r="K4" s="60" t="s">
        <v>226</v>
      </c>
      <c r="L4" s="81"/>
      <c r="M4" s="102"/>
      <c r="N4" s="60"/>
      <c r="O4" s="60"/>
      <c r="P4" s="524">
        <v>37.5</v>
      </c>
      <c r="Q4" s="58" t="s">
        <v>235</v>
      </c>
      <c r="R4" s="82" t="s">
        <v>234</v>
      </c>
      <c r="S4" s="83"/>
      <c r="T4" s="113" t="s">
        <v>467</v>
      </c>
      <c r="U4" s="79"/>
      <c r="V4" s="119"/>
      <c r="W4" s="166"/>
      <c r="X4" s="55"/>
      <c r="Y4" s="55"/>
      <c r="Z4" s="54"/>
      <c r="AA4" s="53"/>
      <c r="AB4" s="53"/>
      <c r="AC4" s="53"/>
      <c r="AD4" s="14"/>
      <c r="AE4" s="14"/>
      <c r="AF4" s="232"/>
      <c r="AG4" s="60" t="s">
        <v>226</v>
      </c>
      <c r="AH4" s="81"/>
      <c r="AI4" s="102"/>
      <c r="AJ4" s="60"/>
      <c r="AK4" s="60"/>
      <c r="AL4" s="525">
        <f>P4</f>
        <v>37.5</v>
      </c>
      <c r="AM4" s="58" t="s">
        <v>235</v>
      </c>
      <c r="AN4" s="82" t="s">
        <v>234</v>
      </c>
      <c r="AO4" s="83"/>
      <c r="AP4" s="113" t="str">
        <f>T4</f>
        <v>ECEB</v>
      </c>
      <c r="AQ4" s="79"/>
    </row>
    <row r="5" spans="1:43" ht="13.15" customHeight="1" x14ac:dyDescent="0.2">
      <c r="A5" s="51" t="s">
        <v>225</v>
      </c>
      <c r="B5" s="80"/>
      <c r="C5" s="50" t="s">
        <v>224</v>
      </c>
      <c r="D5" s="49" t="s">
        <v>223</v>
      </c>
      <c r="E5" s="48"/>
      <c r="F5" s="47" t="s">
        <v>303</v>
      </c>
      <c r="G5" s="47">
        <v>100</v>
      </c>
      <c r="H5" s="47">
        <v>150</v>
      </c>
      <c r="I5" s="47">
        <v>200</v>
      </c>
      <c r="J5" s="47">
        <v>250</v>
      </c>
      <c r="K5" s="104">
        <v>300</v>
      </c>
      <c r="L5" s="197">
        <v>350</v>
      </c>
      <c r="M5" s="205">
        <v>400</v>
      </c>
      <c r="N5" s="177"/>
      <c r="O5" s="176"/>
      <c r="P5" s="107"/>
      <c r="Q5" s="215"/>
      <c r="R5" s="104"/>
      <c r="S5" s="107"/>
      <c r="T5" s="107"/>
      <c r="U5" s="105"/>
      <c r="V5" s="174" t="s">
        <v>225</v>
      </c>
      <c r="W5" s="80"/>
      <c r="X5" s="80"/>
      <c r="Y5" s="50" t="s">
        <v>224</v>
      </c>
      <c r="Z5" s="49" t="s">
        <v>223</v>
      </c>
      <c r="AA5" s="48"/>
      <c r="AB5" s="47" t="s">
        <v>303</v>
      </c>
      <c r="AC5" s="47">
        <v>100</v>
      </c>
      <c r="AD5" s="47">
        <v>150</v>
      </c>
      <c r="AE5" s="47">
        <v>200</v>
      </c>
      <c r="AF5" s="47">
        <v>250</v>
      </c>
      <c r="AG5" s="104">
        <v>300</v>
      </c>
      <c r="AH5" s="197">
        <v>350</v>
      </c>
      <c r="AI5" s="205">
        <v>400</v>
      </c>
      <c r="AJ5" s="177"/>
      <c r="AK5" s="176"/>
      <c r="AL5" s="107"/>
      <c r="AM5" s="215"/>
      <c r="AN5" s="104"/>
      <c r="AO5" s="107"/>
      <c r="AP5" s="107"/>
      <c r="AQ5" s="105"/>
    </row>
    <row r="6" spans="1:43" ht="20.25" customHeight="1" x14ac:dyDescent="0.2">
      <c r="A6" s="51"/>
      <c r="B6" s="80"/>
      <c r="C6" s="185" t="s">
        <v>285</v>
      </c>
      <c r="D6" s="186" t="s">
        <v>235</v>
      </c>
      <c r="E6" s="187" t="s">
        <v>502</v>
      </c>
      <c r="F6" s="188">
        <v>25</v>
      </c>
      <c r="G6" s="387" t="s">
        <v>572</v>
      </c>
      <c r="H6" s="387" t="s">
        <v>573</v>
      </c>
      <c r="I6" s="387" t="s">
        <v>574</v>
      </c>
      <c r="J6" s="387" t="s">
        <v>575</v>
      </c>
      <c r="K6" s="392" t="s">
        <v>576</v>
      </c>
      <c r="L6" s="393" t="s">
        <v>577</v>
      </c>
      <c r="M6" s="389" t="s">
        <v>578</v>
      </c>
      <c r="N6" s="686" t="s">
        <v>579</v>
      </c>
      <c r="O6" s="687"/>
      <c r="P6" s="216"/>
      <c r="Q6" s="216"/>
      <c r="R6" s="189"/>
      <c r="S6" s="190"/>
      <c r="T6" s="190"/>
      <c r="U6" s="191"/>
      <c r="V6" s="21"/>
      <c r="X6" s="80"/>
      <c r="Y6" s="185" t="s">
        <v>285</v>
      </c>
      <c r="Z6" s="186" t="s">
        <v>235</v>
      </c>
      <c r="AA6" s="187" t="s">
        <v>502</v>
      </c>
      <c r="AB6" s="188">
        <v>25</v>
      </c>
      <c r="AC6" s="387" t="s">
        <v>572</v>
      </c>
      <c r="AD6" s="387" t="s">
        <v>573</v>
      </c>
      <c r="AE6" s="387" t="s">
        <v>574</v>
      </c>
      <c r="AF6" s="387" t="s">
        <v>575</v>
      </c>
      <c r="AG6" s="392" t="s">
        <v>576</v>
      </c>
      <c r="AH6" s="393" t="s">
        <v>577</v>
      </c>
      <c r="AI6" s="389" t="s">
        <v>578</v>
      </c>
      <c r="AJ6" s="686" t="s">
        <v>579</v>
      </c>
      <c r="AK6" s="687"/>
      <c r="AL6" s="216"/>
      <c r="AM6" s="216"/>
      <c r="AN6" s="189"/>
      <c r="AO6" s="190"/>
      <c r="AP6" s="190"/>
      <c r="AQ6" s="191"/>
    </row>
    <row r="7" spans="1:43" ht="12.75" customHeight="1" thickBot="1" x14ac:dyDescent="0.25">
      <c r="A7" s="46"/>
      <c r="B7" s="193"/>
      <c r="C7" s="671" t="s">
        <v>284</v>
      </c>
      <c r="D7" s="672"/>
      <c r="E7" s="45"/>
      <c r="F7" s="673" t="s">
        <v>286</v>
      </c>
      <c r="G7" s="734"/>
      <c r="H7" s="734"/>
      <c r="I7" s="734"/>
      <c r="J7" s="734"/>
      <c r="K7" s="734"/>
      <c r="L7" s="672"/>
      <c r="M7" s="236" t="s">
        <v>287</v>
      </c>
      <c r="N7" s="202"/>
      <c r="O7" s="213"/>
      <c r="P7" s="213"/>
      <c r="Q7" s="213"/>
      <c r="R7" s="201"/>
      <c r="S7" s="202"/>
      <c r="T7" s="202"/>
      <c r="U7" s="106"/>
      <c r="V7" s="121"/>
      <c r="W7" s="143"/>
      <c r="X7" s="193"/>
      <c r="Y7" s="671" t="s">
        <v>284</v>
      </c>
      <c r="Z7" s="672"/>
      <c r="AA7" s="45"/>
      <c r="AB7" s="673" t="s">
        <v>286</v>
      </c>
      <c r="AC7" s="734"/>
      <c r="AD7" s="734"/>
      <c r="AE7" s="734"/>
      <c r="AF7" s="734"/>
      <c r="AG7" s="734"/>
      <c r="AH7" s="672"/>
      <c r="AI7" s="236" t="s">
        <v>287</v>
      </c>
      <c r="AJ7" s="202"/>
      <c r="AK7" s="213"/>
      <c r="AL7" s="213"/>
      <c r="AM7" s="213"/>
      <c r="AN7" s="201"/>
      <c r="AO7" s="202"/>
      <c r="AP7" s="202"/>
      <c r="AQ7" s="106"/>
    </row>
    <row r="8" spans="1:43" ht="13.15" customHeight="1" x14ac:dyDescent="0.2">
      <c r="A8" s="413" t="s">
        <v>633</v>
      </c>
      <c r="B8" s="158" t="s">
        <v>220</v>
      </c>
      <c r="C8" s="200">
        <v>15</v>
      </c>
      <c r="D8" s="38" t="s">
        <v>648</v>
      </c>
      <c r="E8" s="38">
        <v>25</v>
      </c>
      <c r="F8" s="38" t="s">
        <v>649</v>
      </c>
      <c r="G8" s="38">
        <v>40</v>
      </c>
      <c r="H8" s="38">
        <v>50</v>
      </c>
      <c r="I8" s="38" t="s">
        <v>299</v>
      </c>
      <c r="J8" s="38">
        <v>80</v>
      </c>
      <c r="K8" s="38">
        <v>100</v>
      </c>
      <c r="L8" s="38" t="s">
        <v>300</v>
      </c>
      <c r="M8" s="38">
        <v>150</v>
      </c>
      <c r="N8" s="38">
        <v>200</v>
      </c>
      <c r="O8" s="38">
        <v>250</v>
      </c>
      <c r="P8" s="38">
        <v>300</v>
      </c>
      <c r="Q8" s="38">
        <v>350</v>
      </c>
      <c r="R8" s="78">
        <v>400</v>
      </c>
      <c r="S8" s="38">
        <v>450</v>
      </c>
      <c r="T8" s="38">
        <v>500</v>
      </c>
      <c r="U8" s="37">
        <v>600</v>
      </c>
      <c r="V8" s="702" t="s">
        <v>240</v>
      </c>
      <c r="W8" s="703"/>
      <c r="X8" s="704"/>
      <c r="Y8" s="705"/>
      <c r="Z8" s="158" t="s">
        <v>220</v>
      </c>
      <c r="AA8" s="200">
        <v>700</v>
      </c>
      <c r="AB8" s="38">
        <v>800</v>
      </c>
      <c r="AC8" s="38">
        <v>914</v>
      </c>
      <c r="AD8" s="103"/>
      <c r="AE8" s="103"/>
      <c r="AF8" s="103"/>
      <c r="AG8" s="103"/>
      <c r="AH8" s="103"/>
      <c r="AI8" s="103"/>
      <c r="AJ8" s="103"/>
      <c r="AK8" s="103"/>
      <c r="AL8" s="103"/>
      <c r="AM8" s="103"/>
      <c r="AN8" s="103"/>
      <c r="AO8" s="103"/>
      <c r="AP8" s="103"/>
      <c r="AQ8" s="89"/>
    </row>
    <row r="9" spans="1:43" ht="13.15" customHeight="1" x14ac:dyDescent="0.2">
      <c r="A9" s="416" t="s">
        <v>634</v>
      </c>
      <c r="B9" s="293" t="s">
        <v>222</v>
      </c>
      <c r="C9" s="35">
        <v>21.3</v>
      </c>
      <c r="D9" s="42">
        <v>26.9</v>
      </c>
      <c r="E9" s="34">
        <v>33.700000000000003</v>
      </c>
      <c r="F9" s="34">
        <v>42.4</v>
      </c>
      <c r="G9" s="34">
        <v>48.3</v>
      </c>
      <c r="H9" s="34">
        <v>60.3</v>
      </c>
      <c r="I9" s="34">
        <v>76.099999999999994</v>
      </c>
      <c r="J9" s="34">
        <v>88.9</v>
      </c>
      <c r="K9" s="34">
        <v>114.3</v>
      </c>
      <c r="L9" s="34">
        <v>139.69999999999999</v>
      </c>
      <c r="M9" s="34">
        <v>168.3</v>
      </c>
      <c r="N9" s="34">
        <v>219.1</v>
      </c>
      <c r="O9" s="34">
        <v>273</v>
      </c>
      <c r="P9" s="34">
        <v>323.89999999999998</v>
      </c>
      <c r="Q9" s="34">
        <v>355.6</v>
      </c>
      <c r="R9" s="34">
        <v>406.4</v>
      </c>
      <c r="S9" s="34">
        <v>457</v>
      </c>
      <c r="T9" s="34">
        <v>508</v>
      </c>
      <c r="U9" s="41">
        <v>610</v>
      </c>
      <c r="V9" s="706" t="s">
        <v>237</v>
      </c>
      <c r="W9" s="600"/>
      <c r="X9" s="547"/>
      <c r="Y9" s="548"/>
      <c r="Z9" s="293" t="s">
        <v>222</v>
      </c>
      <c r="AA9" s="35">
        <v>711</v>
      </c>
      <c r="AB9" s="34">
        <v>813</v>
      </c>
      <c r="AC9" s="34">
        <v>48.3</v>
      </c>
      <c r="AQ9" s="89"/>
    </row>
    <row r="10" spans="1:43" ht="13.15" customHeight="1" x14ac:dyDescent="0.2">
      <c r="A10" s="417" t="s">
        <v>635</v>
      </c>
      <c r="B10" s="294" t="s">
        <v>222</v>
      </c>
      <c r="C10" s="238">
        <v>2.6</v>
      </c>
      <c r="D10" s="239">
        <v>2.6</v>
      </c>
      <c r="E10" s="239">
        <v>2.6</v>
      </c>
      <c r="F10" s="239">
        <v>2.6</v>
      </c>
      <c r="G10" s="239">
        <v>2.6</v>
      </c>
      <c r="H10" s="239">
        <v>2.9</v>
      </c>
      <c r="I10" s="239">
        <v>2.9</v>
      </c>
      <c r="J10" s="239">
        <v>3.2</v>
      </c>
      <c r="K10" s="239">
        <v>3.6</v>
      </c>
      <c r="L10" s="239">
        <v>4</v>
      </c>
      <c r="M10" s="239">
        <v>4.5</v>
      </c>
      <c r="N10" s="239">
        <v>6.3</v>
      </c>
      <c r="O10" s="239">
        <v>6.3</v>
      </c>
      <c r="P10" s="239">
        <v>7.1</v>
      </c>
      <c r="Q10" s="239">
        <v>8</v>
      </c>
      <c r="R10" s="239">
        <v>8.8000000000000007</v>
      </c>
      <c r="S10" s="240">
        <v>10</v>
      </c>
      <c r="T10" s="239">
        <v>11</v>
      </c>
      <c r="U10" s="241">
        <v>12.5</v>
      </c>
      <c r="V10" s="711" t="s">
        <v>293</v>
      </c>
      <c r="W10" s="712"/>
      <c r="X10" s="547"/>
      <c r="Y10" s="548"/>
      <c r="Z10" s="294" t="s">
        <v>222</v>
      </c>
      <c r="AA10" s="238"/>
      <c r="AB10" s="239"/>
      <c r="AC10" s="239"/>
      <c r="AQ10" s="89"/>
    </row>
    <row r="11" spans="1:43" ht="13.15" customHeight="1" x14ac:dyDescent="0.2">
      <c r="A11" s="84" t="s">
        <v>636</v>
      </c>
      <c r="B11" s="295" t="s">
        <v>236</v>
      </c>
      <c r="C11" s="736" t="s">
        <v>302</v>
      </c>
      <c r="D11" s="737"/>
      <c r="E11" s="737"/>
      <c r="F11" s="737"/>
      <c r="G11" s="737"/>
      <c r="H11" s="737"/>
      <c r="I11" s="737"/>
      <c r="J11" s="737"/>
      <c r="K11" s="737"/>
      <c r="L11" s="737"/>
      <c r="M11" s="737"/>
      <c r="N11" s="737"/>
      <c r="O11" s="737"/>
      <c r="P11" s="737"/>
      <c r="Q11" s="737"/>
      <c r="R11" s="737"/>
      <c r="S11" s="737"/>
      <c r="T11" s="737"/>
      <c r="U11" s="738"/>
      <c r="V11" s="84" t="s">
        <v>239</v>
      </c>
      <c r="W11" s="85"/>
      <c r="Z11" s="295" t="s">
        <v>236</v>
      </c>
      <c r="AC11" s="335"/>
      <c r="AQ11" s="89"/>
    </row>
    <row r="12" spans="1:43" ht="13.15" customHeight="1" thickBot="1" x14ac:dyDescent="0.25">
      <c r="A12" s="419" t="s">
        <v>637</v>
      </c>
      <c r="B12" s="296" t="s">
        <v>222</v>
      </c>
      <c r="C12" s="40">
        <f>C9-2*C10</f>
        <v>16.100000000000001</v>
      </c>
      <c r="D12" s="255"/>
      <c r="E12" s="255">
        <f>E9-2*E10</f>
        <v>28.500000000000004</v>
      </c>
      <c r="F12" s="39"/>
      <c r="G12" s="39">
        <f t="shared" ref="G12:U12" si="0">G9-2*G10</f>
        <v>43.099999999999994</v>
      </c>
      <c r="H12" s="39">
        <f>H9-2*H10</f>
        <v>54.5</v>
      </c>
      <c r="I12" s="39">
        <f>I9-2*I10</f>
        <v>70.3</v>
      </c>
      <c r="J12" s="39">
        <f t="shared" si="0"/>
        <v>82.5</v>
      </c>
      <c r="K12" s="39">
        <f t="shared" si="0"/>
        <v>107.1</v>
      </c>
      <c r="L12" s="39">
        <f t="shared" si="0"/>
        <v>131.69999999999999</v>
      </c>
      <c r="M12" s="39">
        <f t="shared" si="0"/>
        <v>159.30000000000001</v>
      </c>
      <c r="N12" s="39">
        <f t="shared" si="0"/>
        <v>206.5</v>
      </c>
      <c r="O12" s="39">
        <f t="shared" si="0"/>
        <v>260.39999999999998</v>
      </c>
      <c r="P12" s="39">
        <f t="shared" si="0"/>
        <v>309.7</v>
      </c>
      <c r="Q12" s="39">
        <f t="shared" si="0"/>
        <v>339.6</v>
      </c>
      <c r="R12" s="39">
        <f t="shared" si="0"/>
        <v>388.79999999999995</v>
      </c>
      <c r="S12" s="39">
        <f t="shared" si="0"/>
        <v>437</v>
      </c>
      <c r="T12" s="39">
        <f t="shared" si="0"/>
        <v>486</v>
      </c>
      <c r="U12" s="87">
        <f t="shared" si="0"/>
        <v>585</v>
      </c>
      <c r="V12" s="711" t="s">
        <v>238</v>
      </c>
      <c r="W12" s="712"/>
      <c r="X12" s="547"/>
      <c r="Y12" s="548"/>
      <c r="Z12" s="296" t="s">
        <v>222</v>
      </c>
      <c r="AA12" s="40"/>
      <c r="AB12" s="39"/>
      <c r="AC12" s="39"/>
      <c r="AQ12" s="89"/>
    </row>
    <row r="13" spans="1:43" ht="13.15" customHeight="1" x14ac:dyDescent="0.2">
      <c r="A13" s="413" t="s">
        <v>638</v>
      </c>
      <c r="B13" s="158" t="s">
        <v>220</v>
      </c>
      <c r="C13" s="253">
        <v>15</v>
      </c>
      <c r="D13" s="38" t="s">
        <v>648</v>
      </c>
      <c r="E13" s="38">
        <v>25</v>
      </c>
      <c r="F13" s="38" t="s">
        <v>649</v>
      </c>
      <c r="G13" s="38">
        <v>40</v>
      </c>
      <c r="H13" s="38">
        <v>50</v>
      </c>
      <c r="I13" s="38" t="s">
        <v>299</v>
      </c>
      <c r="J13" s="38">
        <v>80</v>
      </c>
      <c r="K13" s="38">
        <v>100</v>
      </c>
      <c r="L13" s="38" t="s">
        <v>300</v>
      </c>
      <c r="M13" s="38">
        <v>150</v>
      </c>
      <c r="N13" s="38">
        <v>200</v>
      </c>
      <c r="O13" s="38">
        <v>250</v>
      </c>
      <c r="P13" s="38">
        <v>300</v>
      </c>
      <c r="Q13" s="38">
        <v>350</v>
      </c>
      <c r="R13" s="78">
        <v>400</v>
      </c>
      <c r="S13" s="38">
        <v>450</v>
      </c>
      <c r="T13" s="38">
        <v>500</v>
      </c>
      <c r="U13" s="37">
        <v>600</v>
      </c>
      <c r="V13" s="702" t="s">
        <v>254</v>
      </c>
      <c r="W13" s="703"/>
      <c r="X13" s="704"/>
      <c r="Y13" s="705"/>
      <c r="Z13" s="158" t="s">
        <v>220</v>
      </c>
      <c r="AA13" s="44">
        <v>15</v>
      </c>
      <c r="AB13" s="43">
        <v>25</v>
      </c>
      <c r="AC13" s="43">
        <v>40</v>
      </c>
      <c r="AQ13" s="89"/>
    </row>
    <row r="14" spans="1:43" ht="13.15" customHeight="1" x14ac:dyDescent="0.2">
      <c r="A14" s="416" t="s">
        <v>639</v>
      </c>
      <c r="B14" s="297" t="s">
        <v>222</v>
      </c>
      <c r="C14" s="254">
        <v>21.3</v>
      </c>
      <c r="D14" s="34">
        <v>26.9</v>
      </c>
      <c r="E14" s="34">
        <v>33.700000000000003</v>
      </c>
      <c r="F14" s="34">
        <v>42.4</v>
      </c>
      <c r="G14" s="34">
        <v>48.3</v>
      </c>
      <c r="H14" s="34">
        <v>60.3</v>
      </c>
      <c r="I14" s="34">
        <v>76.099999999999994</v>
      </c>
      <c r="J14" s="34">
        <v>88.9</v>
      </c>
      <c r="K14" s="34">
        <v>114.3</v>
      </c>
      <c r="L14" s="34">
        <v>139.69999999999999</v>
      </c>
      <c r="M14" s="34">
        <v>168.3</v>
      </c>
      <c r="N14" s="34">
        <v>219.1</v>
      </c>
      <c r="O14" s="34">
        <v>273</v>
      </c>
      <c r="P14" s="34">
        <v>323.89999999999998</v>
      </c>
      <c r="Q14" s="34">
        <v>355.6</v>
      </c>
      <c r="R14" s="34">
        <v>406.4</v>
      </c>
      <c r="S14" s="34">
        <v>457</v>
      </c>
      <c r="T14" s="34">
        <v>508</v>
      </c>
      <c r="U14" s="41">
        <v>610</v>
      </c>
      <c r="V14" s="706" t="s">
        <v>255</v>
      </c>
      <c r="W14" s="600"/>
      <c r="X14" s="547"/>
      <c r="Y14" s="548"/>
      <c r="Z14" s="297" t="s">
        <v>222</v>
      </c>
      <c r="AA14" s="35">
        <v>711</v>
      </c>
      <c r="AB14" s="34">
        <v>813</v>
      </c>
      <c r="AC14" s="34">
        <v>914</v>
      </c>
      <c r="AQ14" s="89"/>
    </row>
    <row r="15" spans="1:43" ht="13.15" customHeight="1" x14ac:dyDescent="0.2">
      <c r="A15" s="417" t="s">
        <v>640</v>
      </c>
      <c r="B15" s="294" t="s">
        <v>222</v>
      </c>
      <c r="C15" s="240">
        <v>2.6</v>
      </c>
      <c r="D15" s="239">
        <v>2.6</v>
      </c>
      <c r="E15" s="239">
        <v>2.6</v>
      </c>
      <c r="F15" s="239">
        <v>2.6</v>
      </c>
      <c r="G15" s="239">
        <v>2.6</v>
      </c>
      <c r="H15" s="239">
        <v>2.9</v>
      </c>
      <c r="I15" s="239">
        <v>2.9</v>
      </c>
      <c r="J15" s="239">
        <v>3.2</v>
      </c>
      <c r="K15" s="239">
        <v>3.6</v>
      </c>
      <c r="L15" s="239">
        <v>4</v>
      </c>
      <c r="M15" s="239">
        <v>4.5</v>
      </c>
      <c r="N15" s="239">
        <v>6.3</v>
      </c>
      <c r="O15" s="239">
        <v>6.3</v>
      </c>
      <c r="P15" s="239">
        <v>7.1</v>
      </c>
      <c r="Q15" s="239">
        <v>8</v>
      </c>
      <c r="R15" s="239">
        <v>8.8000000000000007</v>
      </c>
      <c r="S15" s="240">
        <v>10</v>
      </c>
      <c r="T15" s="239">
        <v>11</v>
      </c>
      <c r="U15" s="241">
        <v>12.5</v>
      </c>
      <c r="V15" s="707" t="s">
        <v>294</v>
      </c>
      <c r="W15" s="708"/>
      <c r="X15" s="709"/>
      <c r="Y15" s="710"/>
      <c r="Z15" s="294" t="s">
        <v>222</v>
      </c>
      <c r="AA15" s="238"/>
      <c r="AB15" s="239"/>
      <c r="AC15" s="239"/>
      <c r="AQ15" s="89"/>
    </row>
    <row r="16" spans="1:43" ht="13.15" customHeight="1" thickBot="1" x14ac:dyDescent="0.25">
      <c r="A16" s="419" t="s">
        <v>641</v>
      </c>
      <c r="B16" s="296" t="s">
        <v>222</v>
      </c>
      <c r="C16" s="469">
        <v>3</v>
      </c>
      <c r="D16" s="469">
        <v>3</v>
      </c>
      <c r="E16" s="317" t="s">
        <v>543</v>
      </c>
      <c r="F16" s="317" t="s">
        <v>543</v>
      </c>
      <c r="G16" s="317" t="s">
        <v>543</v>
      </c>
      <c r="H16" s="317">
        <v>2</v>
      </c>
      <c r="I16" s="317">
        <v>2</v>
      </c>
      <c r="J16" s="317">
        <v>2</v>
      </c>
      <c r="K16" s="317">
        <v>2</v>
      </c>
      <c r="L16" s="317">
        <v>2</v>
      </c>
      <c r="M16" s="317">
        <v>2</v>
      </c>
      <c r="N16" s="317">
        <v>2</v>
      </c>
      <c r="O16" s="317">
        <v>2</v>
      </c>
      <c r="P16" s="317" t="s">
        <v>543</v>
      </c>
      <c r="Q16" s="317">
        <v>2</v>
      </c>
      <c r="R16" s="317">
        <v>2</v>
      </c>
      <c r="S16" s="317">
        <v>2</v>
      </c>
      <c r="T16" s="317">
        <v>3</v>
      </c>
      <c r="U16" s="318">
        <v>3</v>
      </c>
      <c r="V16" s="732" t="s">
        <v>457</v>
      </c>
      <c r="W16" s="733"/>
      <c r="X16" s="734"/>
      <c r="Y16" s="735"/>
      <c r="Z16" s="32" t="s">
        <v>236</v>
      </c>
      <c r="AA16" s="316"/>
      <c r="AB16" s="317"/>
      <c r="AC16" s="317"/>
      <c r="AO16"/>
      <c r="AQ16" s="89"/>
    </row>
    <row r="17" spans="1:43" ht="13.15" customHeight="1" x14ac:dyDescent="0.2">
      <c r="A17" s="31" t="s">
        <v>221</v>
      </c>
      <c r="B17" s="422"/>
      <c r="C17" s="631" t="s">
        <v>220</v>
      </c>
      <c r="D17" s="632"/>
      <c r="E17" s="633" t="s">
        <v>197</v>
      </c>
      <c r="F17" s="634"/>
      <c r="G17" s="634"/>
      <c r="H17" s="634"/>
      <c r="I17" s="634"/>
      <c r="J17" s="634"/>
      <c r="K17" s="635" t="s">
        <v>241</v>
      </c>
      <c r="L17" s="634"/>
      <c r="M17" s="634"/>
      <c r="N17" s="636"/>
      <c r="O17" s="656" t="s">
        <v>243</v>
      </c>
      <c r="P17" s="656" t="s">
        <v>242</v>
      </c>
      <c r="Q17" s="637" t="s">
        <v>244</v>
      </c>
      <c r="R17" s="638"/>
      <c r="S17" s="633" t="s">
        <v>245</v>
      </c>
      <c r="T17" s="639"/>
      <c r="U17" s="640"/>
      <c r="V17" s="263"/>
      <c r="AQ17" s="89"/>
    </row>
    <row r="18" spans="1:43" ht="13.15" customHeight="1" x14ac:dyDescent="0.2">
      <c r="A18" s="20"/>
      <c r="B18" s="424"/>
      <c r="C18" s="30" t="s">
        <v>219</v>
      </c>
      <c r="D18" s="30" t="s">
        <v>218</v>
      </c>
      <c r="E18" s="554"/>
      <c r="F18" s="555"/>
      <c r="G18" s="555"/>
      <c r="H18" s="555"/>
      <c r="I18" s="555"/>
      <c r="J18" s="555"/>
      <c r="K18" s="558"/>
      <c r="L18" s="555"/>
      <c r="M18" s="555"/>
      <c r="N18" s="556"/>
      <c r="O18" s="555"/>
      <c r="P18" s="555"/>
      <c r="Q18" s="555"/>
      <c r="R18" s="555"/>
      <c r="S18" s="641"/>
      <c r="T18" s="642"/>
      <c r="U18" s="643"/>
      <c r="V18" s="263"/>
      <c r="W18" s="168"/>
      <c r="X18" s="659" t="s">
        <v>288</v>
      </c>
      <c r="Y18" s="670"/>
      <c r="Z18" s="670"/>
      <c r="AA18" s="670"/>
      <c r="AB18" s="670"/>
      <c r="AC18" s="670"/>
      <c r="AD18" s="670"/>
      <c r="AE18" s="670"/>
      <c r="AF18" s="670"/>
      <c r="AG18" s="670"/>
      <c r="AH18" s="670"/>
      <c r="AI18" s="670"/>
      <c r="AJ18" s="670"/>
      <c r="AK18" s="670"/>
      <c r="AL18" s="670"/>
      <c r="AM18" s="670"/>
      <c r="AN18" s="670"/>
      <c r="AO18" s="660"/>
      <c r="AP18" s="660"/>
      <c r="AQ18" s="89"/>
    </row>
    <row r="19" spans="1:43" ht="13.15" customHeight="1" x14ac:dyDescent="0.2">
      <c r="A19" s="19" t="s">
        <v>217</v>
      </c>
      <c r="B19" s="60"/>
      <c r="C19" s="24">
        <v>15</v>
      </c>
      <c r="D19" s="24">
        <v>50</v>
      </c>
      <c r="E19" s="561" t="s">
        <v>496</v>
      </c>
      <c r="F19" s="562"/>
      <c r="G19" s="562"/>
      <c r="H19" s="562"/>
      <c r="I19" s="562"/>
      <c r="J19" s="563"/>
      <c r="K19" s="564" t="s">
        <v>322</v>
      </c>
      <c r="L19" s="562"/>
      <c r="M19" s="562"/>
      <c r="N19" s="563"/>
      <c r="O19" s="97" t="s">
        <v>236</v>
      </c>
      <c r="P19" s="97" t="s">
        <v>485</v>
      </c>
      <c r="Q19" s="651" t="s">
        <v>304</v>
      </c>
      <c r="R19" s="626"/>
      <c r="S19" s="88"/>
      <c r="U19" s="89"/>
      <c r="V19" s="657" t="s">
        <v>274</v>
      </c>
      <c r="W19" s="1">
        <v>15</v>
      </c>
      <c r="X19" s="136" t="s">
        <v>406</v>
      </c>
      <c r="Y19" s="137"/>
      <c r="Z19" s="137"/>
      <c r="AA19" s="137"/>
      <c r="AB19" s="137"/>
      <c r="AC19" s="137"/>
      <c r="AD19" s="137"/>
      <c r="AE19" s="137"/>
      <c r="AF19" s="137"/>
      <c r="AG19" s="137"/>
      <c r="AH19" s="137"/>
      <c r="AI19" s="137"/>
      <c r="AJ19" s="137"/>
      <c r="AK19" s="137"/>
      <c r="AL19" s="138"/>
      <c r="AM19" s="138"/>
      <c r="AN19"/>
      <c r="AQ19" s="89"/>
    </row>
    <row r="20" spans="1:43" ht="13.15" customHeight="1" x14ac:dyDescent="0.2">
      <c r="A20" s="19"/>
      <c r="B20" s="60"/>
      <c r="C20" s="24">
        <v>65</v>
      </c>
      <c r="D20" s="24">
        <v>600</v>
      </c>
      <c r="E20" s="583" t="s">
        <v>496</v>
      </c>
      <c r="F20" s="549"/>
      <c r="G20" s="549"/>
      <c r="H20" s="549"/>
      <c r="I20" s="549"/>
      <c r="J20" s="550"/>
      <c r="K20" s="584" t="s">
        <v>322</v>
      </c>
      <c r="L20" s="549"/>
      <c r="M20" s="549"/>
      <c r="N20" s="550"/>
      <c r="O20" s="98" t="s">
        <v>236</v>
      </c>
      <c r="P20" s="98" t="s">
        <v>484</v>
      </c>
      <c r="Q20" s="652" t="s">
        <v>304</v>
      </c>
      <c r="R20" s="586"/>
      <c r="S20" s="88"/>
      <c r="U20" s="89"/>
      <c r="V20" s="658"/>
      <c r="W20" s="430" t="s">
        <v>642</v>
      </c>
      <c r="X20" s="139"/>
      <c r="Y20" s="136"/>
      <c r="Z20" s="147"/>
      <c r="AA20" s="137"/>
      <c r="AB20" s="137"/>
      <c r="AC20" s="137"/>
      <c r="AD20" s="137"/>
      <c r="AE20" s="137"/>
      <c r="AF20" s="137"/>
      <c r="AG20" s="137"/>
      <c r="AH20" s="137"/>
      <c r="AI20" s="137"/>
      <c r="AJ20" s="137"/>
      <c r="AK20" s="137"/>
      <c r="AL20" s="137"/>
      <c r="AM20" s="138"/>
      <c r="AN20" s="138"/>
      <c r="AQ20" s="89"/>
    </row>
    <row r="21" spans="1:43" ht="13.15" customHeight="1" x14ac:dyDescent="0.2">
      <c r="A21" s="19"/>
      <c r="B21" s="60"/>
      <c r="C21" s="24">
        <v>700</v>
      </c>
      <c r="D21" s="24"/>
      <c r="E21" s="583" t="s">
        <v>695</v>
      </c>
      <c r="F21" s="549"/>
      <c r="G21" s="549"/>
      <c r="H21" s="549"/>
      <c r="I21" s="549"/>
      <c r="J21" s="550"/>
      <c r="K21" s="584" t="s">
        <v>539</v>
      </c>
      <c r="L21" s="549"/>
      <c r="M21" s="549"/>
      <c r="N21" s="550"/>
      <c r="O21" s="98" t="s">
        <v>236</v>
      </c>
      <c r="P21" s="98" t="s">
        <v>484</v>
      </c>
      <c r="Q21" s="652" t="s">
        <v>376</v>
      </c>
      <c r="R21" s="545"/>
      <c r="S21" s="93" t="s">
        <v>506</v>
      </c>
      <c r="U21" s="89"/>
      <c r="V21" s="658"/>
      <c r="W21" s="118">
        <v>25</v>
      </c>
      <c r="X21" s="139" t="s">
        <v>406</v>
      </c>
      <c r="Y21" s="136"/>
      <c r="Z21" s="136" t="s">
        <v>413</v>
      </c>
      <c r="AA21" s="137"/>
      <c r="AB21" s="137"/>
      <c r="AC21" s="137"/>
      <c r="AD21" s="137"/>
      <c r="AE21" s="137"/>
      <c r="AF21" s="137"/>
      <c r="AG21" s="137"/>
      <c r="AH21" s="137"/>
      <c r="AI21" s="137"/>
      <c r="AJ21" s="137"/>
      <c r="AK21" s="137"/>
      <c r="AL21" s="137"/>
      <c r="AM21" s="138"/>
      <c r="AN21" s="138"/>
      <c r="AQ21" s="89"/>
    </row>
    <row r="22" spans="1:43" ht="13.15" customHeight="1" x14ac:dyDescent="0.2">
      <c r="A22" s="19"/>
      <c r="B22" s="60"/>
      <c r="C22" s="24"/>
      <c r="D22" s="24"/>
      <c r="E22" s="155"/>
      <c r="F22" s="160"/>
      <c r="G22" s="160"/>
      <c r="H22" s="160"/>
      <c r="I22" s="160"/>
      <c r="J22" s="181"/>
      <c r="K22" s="182"/>
      <c r="L22" s="160"/>
      <c r="M22" s="160"/>
      <c r="N22" s="181"/>
      <c r="O22" s="98"/>
      <c r="P22" s="98"/>
      <c r="Q22" s="183"/>
      <c r="R22" s="161"/>
      <c r="S22" s="88"/>
      <c r="U22" s="89"/>
      <c r="V22" s="658"/>
      <c r="W22" s="430" t="s">
        <v>643</v>
      </c>
      <c r="X22" s="139"/>
      <c r="Y22" s="136"/>
      <c r="Z22" s="136"/>
      <c r="AA22" s="136"/>
      <c r="AB22" s="147"/>
      <c r="AC22" s="137"/>
      <c r="AD22" s="137"/>
      <c r="AE22" s="137"/>
      <c r="AF22" s="137"/>
      <c r="AG22" s="137"/>
      <c r="AH22" s="137"/>
      <c r="AI22" s="137"/>
      <c r="AJ22" s="137"/>
      <c r="AK22" s="137"/>
      <c r="AL22" s="137"/>
      <c r="AM22" s="137"/>
      <c r="AN22" s="138"/>
      <c r="AO22" s="138"/>
      <c r="AQ22" s="89"/>
    </row>
    <row r="23" spans="1:43" ht="13.15" customHeight="1" x14ac:dyDescent="0.2">
      <c r="A23" s="19"/>
      <c r="B23" s="60"/>
      <c r="C23" s="24"/>
      <c r="D23" s="24"/>
      <c r="E23" s="155"/>
      <c r="F23" s="160"/>
      <c r="G23" s="160"/>
      <c r="H23" s="160"/>
      <c r="I23" s="160"/>
      <c r="J23" s="181"/>
      <c r="K23" s="182"/>
      <c r="L23" s="160"/>
      <c r="M23" s="160"/>
      <c r="N23" s="181"/>
      <c r="O23" s="98"/>
      <c r="P23" s="98"/>
      <c r="Q23" s="183"/>
      <c r="R23" s="161"/>
      <c r="S23" s="88"/>
      <c r="U23" s="89"/>
      <c r="V23" s="658"/>
      <c r="W23" s="118">
        <v>40</v>
      </c>
      <c r="X23" s="139" t="s">
        <v>406</v>
      </c>
      <c r="Y23" s="136"/>
      <c r="Z23" s="136" t="s">
        <v>413</v>
      </c>
      <c r="AA23" s="136"/>
      <c r="AB23" s="136" t="s">
        <v>413</v>
      </c>
      <c r="AC23" s="137"/>
      <c r="AD23" s="137"/>
      <c r="AE23" s="137"/>
      <c r="AF23" s="137"/>
      <c r="AG23" s="137"/>
      <c r="AH23" s="137"/>
      <c r="AI23" s="137"/>
      <c r="AJ23" s="137"/>
      <c r="AK23" s="137"/>
      <c r="AL23" s="137"/>
      <c r="AM23" s="137"/>
      <c r="AN23" s="138"/>
      <c r="AO23" s="138"/>
      <c r="AQ23" s="89"/>
    </row>
    <row r="24" spans="1:43" ht="13.15" customHeight="1" x14ac:dyDescent="0.2">
      <c r="A24" s="26" t="s">
        <v>298</v>
      </c>
      <c r="B24" s="435"/>
      <c r="C24" s="29">
        <v>15</v>
      </c>
      <c r="D24" s="25">
        <v>50</v>
      </c>
      <c r="E24" s="653" t="s">
        <v>495</v>
      </c>
      <c r="F24" s="654"/>
      <c r="G24" s="654"/>
      <c r="H24" s="654"/>
      <c r="I24" s="654"/>
      <c r="J24" s="655"/>
      <c r="K24" s="699" t="s">
        <v>322</v>
      </c>
      <c r="L24" s="654"/>
      <c r="M24" s="654"/>
      <c r="N24" s="655"/>
      <c r="O24" s="148" t="s">
        <v>236</v>
      </c>
      <c r="P24" s="97" t="s">
        <v>485</v>
      </c>
      <c r="Q24" s="697" t="s">
        <v>304</v>
      </c>
      <c r="R24" s="701"/>
      <c r="S24" s="90"/>
      <c r="T24" s="91"/>
      <c r="U24" s="92"/>
      <c r="V24" s="658"/>
      <c r="W24" s="1">
        <v>50</v>
      </c>
      <c r="X24" s="139" t="s">
        <v>694</v>
      </c>
      <c r="Y24" s="142"/>
      <c r="Z24" s="142" t="s">
        <v>413</v>
      </c>
      <c r="AA24" s="142"/>
      <c r="AB24" s="142" t="s">
        <v>413</v>
      </c>
      <c r="AC24" s="142" t="s">
        <v>413</v>
      </c>
      <c r="AD24" s="137"/>
      <c r="AE24" s="137"/>
      <c r="AF24" s="137"/>
      <c r="AG24" s="137"/>
      <c r="AH24" s="137"/>
      <c r="AI24" s="137"/>
      <c r="AJ24" s="137"/>
      <c r="AK24" s="137"/>
      <c r="AL24" s="137"/>
      <c r="AM24" s="137"/>
      <c r="AN24" s="138"/>
      <c r="AO24" s="138"/>
      <c r="AQ24" s="89"/>
    </row>
    <row r="25" spans="1:43" ht="13.15" customHeight="1" x14ac:dyDescent="0.2">
      <c r="A25" s="19" t="s">
        <v>305</v>
      </c>
      <c r="B25" s="60"/>
      <c r="C25" s="235">
        <v>15</v>
      </c>
      <c r="D25" s="242">
        <v>600</v>
      </c>
      <c r="E25" s="644" t="s">
        <v>503</v>
      </c>
      <c r="F25" s="645"/>
      <c r="G25" s="645"/>
      <c r="H25" s="645"/>
      <c r="I25" s="645"/>
      <c r="J25" s="646"/>
      <c r="K25" s="700" t="s">
        <v>323</v>
      </c>
      <c r="L25" s="645"/>
      <c r="M25" s="645"/>
      <c r="N25" s="646"/>
      <c r="O25" s="188" t="s">
        <v>236</v>
      </c>
      <c r="P25" s="188" t="s">
        <v>246</v>
      </c>
      <c r="Q25" s="647" t="s">
        <v>306</v>
      </c>
      <c r="R25" s="723"/>
      <c r="S25" s="93"/>
      <c r="U25" s="89"/>
      <c r="V25" s="658"/>
      <c r="W25" s="227" t="s">
        <v>295</v>
      </c>
      <c r="X25" s="139" t="s">
        <v>694</v>
      </c>
      <c r="Y25" s="142"/>
      <c r="Z25" s="142" t="s">
        <v>413</v>
      </c>
      <c r="AA25" s="142"/>
      <c r="AB25" s="142" t="s">
        <v>413</v>
      </c>
      <c r="AC25" s="142" t="s">
        <v>406</v>
      </c>
      <c r="AD25" s="136" t="s">
        <v>406</v>
      </c>
      <c r="AE25" s="147"/>
      <c r="AF25" s="137"/>
      <c r="AG25" s="137"/>
      <c r="AH25" s="137"/>
      <c r="AI25" s="137"/>
      <c r="AJ25" s="137"/>
      <c r="AK25" s="137"/>
      <c r="AL25" s="137"/>
      <c r="AM25" s="137"/>
      <c r="AN25" s="137"/>
      <c r="AO25" s="138"/>
      <c r="AP25" s="138"/>
      <c r="AQ25" s="89"/>
    </row>
    <row r="26" spans="1:43" ht="13.15" customHeight="1" x14ac:dyDescent="0.2">
      <c r="A26" s="19"/>
      <c r="B26" s="60"/>
      <c r="C26" s="24">
        <v>100</v>
      </c>
      <c r="D26" s="23">
        <v>600</v>
      </c>
      <c r="E26" s="583" t="s">
        <v>504</v>
      </c>
      <c r="F26" s="549"/>
      <c r="G26" s="549"/>
      <c r="H26" s="549"/>
      <c r="I26" s="549"/>
      <c r="J26" s="550"/>
      <c r="K26" s="584" t="s">
        <v>323</v>
      </c>
      <c r="L26" s="549"/>
      <c r="M26" s="549"/>
      <c r="N26" s="550"/>
      <c r="O26" s="98" t="s">
        <v>236</v>
      </c>
      <c r="P26" s="98" t="s">
        <v>246</v>
      </c>
      <c r="Q26" s="585" t="s">
        <v>306</v>
      </c>
      <c r="R26" s="615"/>
      <c r="S26" s="93" t="s">
        <v>292</v>
      </c>
      <c r="U26" s="89"/>
      <c r="V26" s="658"/>
      <c r="W26" s="1">
        <v>80</v>
      </c>
      <c r="X26" s="139" t="s">
        <v>694</v>
      </c>
      <c r="Y26" s="139"/>
      <c r="Z26" s="139" t="s">
        <v>694</v>
      </c>
      <c r="AA26" s="142"/>
      <c r="AB26" s="142" t="s">
        <v>413</v>
      </c>
      <c r="AC26" s="142" t="s">
        <v>407</v>
      </c>
      <c r="AD26" s="142" t="s">
        <v>407</v>
      </c>
      <c r="AE26" s="142" t="s">
        <v>407</v>
      </c>
      <c r="AF26" s="137"/>
      <c r="AG26" s="137"/>
      <c r="AH26" s="137"/>
      <c r="AI26" s="137"/>
      <c r="AJ26" s="137"/>
      <c r="AK26" s="137"/>
      <c r="AL26" s="137"/>
      <c r="AM26" s="137"/>
      <c r="AN26" s="137"/>
      <c r="AO26" s="138"/>
      <c r="AP26" s="138"/>
      <c r="AQ26" s="89"/>
    </row>
    <row r="27" spans="1:43" ht="13.15" customHeight="1" x14ac:dyDescent="0.2">
      <c r="A27" s="19"/>
      <c r="B27" s="60"/>
      <c r="C27" s="24"/>
      <c r="D27" s="23"/>
      <c r="E27" s="583"/>
      <c r="F27" s="549"/>
      <c r="G27" s="549"/>
      <c r="H27" s="549"/>
      <c r="I27" s="549"/>
      <c r="J27" s="550"/>
      <c r="K27" s="584"/>
      <c r="L27" s="549"/>
      <c r="M27" s="549"/>
      <c r="N27" s="550"/>
      <c r="O27" s="98"/>
      <c r="P27" s="98"/>
      <c r="Q27" s="585"/>
      <c r="R27" s="545"/>
      <c r="S27" s="93"/>
      <c r="U27" s="89"/>
      <c r="V27" s="658"/>
      <c r="W27" s="1">
        <v>100</v>
      </c>
      <c r="X27" s="139" t="s">
        <v>410</v>
      </c>
      <c r="Y27" s="139"/>
      <c r="Z27" s="139" t="s">
        <v>401</v>
      </c>
      <c r="AA27" s="139"/>
      <c r="AB27" s="139" t="s">
        <v>407</v>
      </c>
      <c r="AC27" s="139" t="s">
        <v>407</v>
      </c>
      <c r="AD27" s="139" t="s">
        <v>407</v>
      </c>
      <c r="AE27" s="139" t="s">
        <v>407</v>
      </c>
      <c r="AF27" s="139" t="s">
        <v>407</v>
      </c>
      <c r="AG27" s="147"/>
      <c r="AH27" s="137"/>
      <c r="AI27" s="137"/>
      <c r="AJ27" s="137"/>
      <c r="AK27" s="137"/>
      <c r="AL27" s="137"/>
      <c r="AM27" s="137"/>
      <c r="AN27" s="137"/>
      <c r="AO27" s="138"/>
      <c r="AP27" s="138"/>
      <c r="AQ27" s="89"/>
    </row>
    <row r="28" spans="1:43" ht="13.15" customHeight="1" x14ac:dyDescent="0.2">
      <c r="A28" s="20"/>
      <c r="B28" s="424"/>
      <c r="C28" s="28"/>
      <c r="D28" s="27"/>
      <c r="E28" s="320"/>
      <c r="F28" s="124"/>
      <c r="G28" s="124"/>
      <c r="H28" s="124"/>
      <c r="I28" s="124"/>
      <c r="J28" s="354"/>
      <c r="K28" s="321"/>
      <c r="L28" s="124"/>
      <c r="M28" s="124"/>
      <c r="N28" s="354"/>
      <c r="O28" s="110"/>
      <c r="P28" s="110"/>
      <c r="Q28" s="80"/>
      <c r="R28" s="80"/>
      <c r="S28" s="94"/>
      <c r="T28" s="95"/>
      <c r="U28" s="96"/>
      <c r="V28" s="658"/>
      <c r="W28" s="227" t="s">
        <v>296</v>
      </c>
      <c r="X28" s="139" t="s">
        <v>410</v>
      </c>
      <c r="Y28" s="139"/>
      <c r="Z28" s="139" t="s">
        <v>401</v>
      </c>
      <c r="AA28" s="139"/>
      <c r="AB28" s="139" t="s">
        <v>402</v>
      </c>
      <c r="AC28" s="139" t="s">
        <v>407</v>
      </c>
      <c r="AD28" s="139" t="s">
        <v>407</v>
      </c>
      <c r="AE28" s="139" t="s">
        <v>407</v>
      </c>
      <c r="AF28" s="139" t="s">
        <v>407</v>
      </c>
      <c r="AG28" s="139" t="s">
        <v>407</v>
      </c>
      <c r="AH28" s="137"/>
      <c r="AI28" s="137"/>
      <c r="AJ28" s="137"/>
      <c r="AK28" s="137"/>
      <c r="AL28" s="137"/>
      <c r="AM28" s="137"/>
      <c r="AN28" s="137"/>
      <c r="AO28" s="138"/>
      <c r="AP28" s="138"/>
      <c r="AQ28" s="89"/>
    </row>
    <row r="29" spans="1:43" ht="13.15" customHeight="1" x14ac:dyDescent="0.2">
      <c r="A29" s="19" t="s">
        <v>249</v>
      </c>
      <c r="B29" s="60"/>
      <c r="C29" s="24">
        <v>15</v>
      </c>
      <c r="D29" s="24">
        <v>65</v>
      </c>
      <c r="E29" s="561" t="s">
        <v>271</v>
      </c>
      <c r="F29" s="562"/>
      <c r="G29" s="562"/>
      <c r="H29" s="562"/>
      <c r="I29" s="562"/>
      <c r="J29" s="563"/>
      <c r="K29" s="564" t="s">
        <v>323</v>
      </c>
      <c r="L29" s="562"/>
      <c r="M29" s="562"/>
      <c r="N29" s="563"/>
      <c r="O29" s="97" t="s">
        <v>236</v>
      </c>
      <c r="P29" s="97" t="s">
        <v>246</v>
      </c>
      <c r="Q29" s="565" t="s">
        <v>306</v>
      </c>
      <c r="R29" s="566"/>
      <c r="S29" s="694" t="s">
        <v>548</v>
      </c>
      <c r="T29" s="91"/>
      <c r="U29" s="92"/>
      <c r="V29" s="658"/>
      <c r="W29" s="1">
        <v>150</v>
      </c>
      <c r="X29" s="139" t="s">
        <v>410</v>
      </c>
      <c r="Y29" s="139"/>
      <c r="Z29" s="139" t="s">
        <v>401</v>
      </c>
      <c r="AA29" s="139"/>
      <c r="AB29" s="139" t="s">
        <v>402</v>
      </c>
      <c r="AC29" s="139" t="s">
        <v>416</v>
      </c>
      <c r="AD29" s="139" t="s">
        <v>407</v>
      </c>
      <c r="AE29" s="139" t="s">
        <v>407</v>
      </c>
      <c r="AF29" s="139" t="s">
        <v>407</v>
      </c>
      <c r="AG29" s="139" t="s">
        <v>407</v>
      </c>
      <c r="AH29" s="139" t="s">
        <v>407</v>
      </c>
      <c r="AI29" s="137"/>
      <c r="AJ29" s="137"/>
      <c r="AK29" s="137"/>
      <c r="AL29" s="137"/>
      <c r="AM29" s="137"/>
      <c r="AN29" s="137"/>
      <c r="AO29" s="138"/>
      <c r="AP29" s="138"/>
      <c r="AQ29" s="89"/>
    </row>
    <row r="30" spans="1:43" ht="13.15" customHeight="1" x14ac:dyDescent="0.2">
      <c r="A30" s="19" t="s">
        <v>250</v>
      </c>
      <c r="B30" s="60"/>
      <c r="C30" s="24">
        <v>80</v>
      </c>
      <c r="D30" s="24">
        <v>600</v>
      </c>
      <c r="E30" s="583" t="s">
        <v>271</v>
      </c>
      <c r="F30" s="549"/>
      <c r="G30" s="549"/>
      <c r="H30" s="549"/>
      <c r="I30" s="549"/>
      <c r="J30" s="550"/>
      <c r="K30" s="584" t="s">
        <v>323</v>
      </c>
      <c r="L30" s="549"/>
      <c r="M30" s="549"/>
      <c r="N30" s="550"/>
      <c r="O30" s="98" t="s">
        <v>236</v>
      </c>
      <c r="P30" s="98" t="s">
        <v>246</v>
      </c>
      <c r="Q30" s="585" t="s">
        <v>307</v>
      </c>
      <c r="R30" s="615"/>
      <c r="S30" s="695"/>
      <c r="U30" s="89"/>
      <c r="V30" s="658"/>
      <c r="W30" s="1">
        <v>200</v>
      </c>
      <c r="X30" s="139" t="s">
        <v>410</v>
      </c>
      <c r="Y30" s="139"/>
      <c r="Z30" s="139" t="s">
        <v>401</v>
      </c>
      <c r="AA30" s="139"/>
      <c r="AB30" s="139" t="s">
        <v>402</v>
      </c>
      <c r="AC30" s="139" t="s">
        <v>416</v>
      </c>
      <c r="AD30" s="139" t="s">
        <v>416</v>
      </c>
      <c r="AE30" s="139" t="s">
        <v>407</v>
      </c>
      <c r="AF30" s="139" t="s">
        <v>407</v>
      </c>
      <c r="AG30" s="139" t="s">
        <v>407</v>
      </c>
      <c r="AH30" s="139" t="s">
        <v>407</v>
      </c>
      <c r="AI30" s="139" t="s">
        <v>407</v>
      </c>
      <c r="AJ30" s="137"/>
      <c r="AK30" s="137"/>
      <c r="AL30" s="137"/>
      <c r="AM30" s="137"/>
      <c r="AN30" s="137"/>
      <c r="AO30" s="138"/>
      <c r="AP30" s="138"/>
      <c r="AQ30" s="89"/>
    </row>
    <row r="31" spans="1:43" ht="13.15" customHeight="1" x14ac:dyDescent="0.2">
      <c r="A31" s="19"/>
      <c r="B31" s="60"/>
      <c r="C31" s="210" t="s">
        <v>236</v>
      </c>
      <c r="D31" s="210" t="s">
        <v>236</v>
      </c>
      <c r="E31" s="583" t="s">
        <v>325</v>
      </c>
      <c r="F31" s="549"/>
      <c r="G31" s="549"/>
      <c r="H31" s="549"/>
      <c r="I31" s="549"/>
      <c r="J31" s="550"/>
      <c r="K31" s="584" t="s">
        <v>322</v>
      </c>
      <c r="L31" s="549"/>
      <c r="M31" s="549"/>
      <c r="N31" s="550"/>
      <c r="O31" s="98" t="s">
        <v>236</v>
      </c>
      <c r="P31" s="98" t="s">
        <v>246</v>
      </c>
      <c r="Q31" s="585" t="s">
        <v>347</v>
      </c>
      <c r="R31" s="615"/>
      <c r="S31" s="695"/>
      <c r="U31" s="89"/>
      <c r="V31" s="658"/>
      <c r="W31" s="1">
        <v>250</v>
      </c>
      <c r="X31" s="139" t="s">
        <v>410</v>
      </c>
      <c r="Y31" s="139"/>
      <c r="Z31" s="139" t="s">
        <v>401</v>
      </c>
      <c r="AA31" s="139"/>
      <c r="AB31" s="139" t="s">
        <v>402</v>
      </c>
      <c r="AC31" s="139" t="s">
        <v>409</v>
      </c>
      <c r="AD31" s="139" t="s">
        <v>444</v>
      </c>
      <c r="AE31" s="139" t="s">
        <v>441</v>
      </c>
      <c r="AF31" s="139" t="s">
        <v>413</v>
      </c>
      <c r="AG31" s="139" t="s">
        <v>413</v>
      </c>
      <c r="AH31" s="139" t="s">
        <v>407</v>
      </c>
      <c r="AI31" s="139" t="s">
        <v>407</v>
      </c>
      <c r="AJ31" s="139" t="s">
        <v>407</v>
      </c>
      <c r="AK31" s="137"/>
      <c r="AL31" s="137"/>
      <c r="AM31" s="137"/>
      <c r="AN31" s="137"/>
      <c r="AO31" s="138"/>
      <c r="AP31" s="138"/>
      <c r="AQ31" s="89"/>
    </row>
    <row r="32" spans="1:43" ht="13.15" customHeight="1" x14ac:dyDescent="0.2">
      <c r="A32" s="19"/>
      <c r="B32" s="60"/>
      <c r="C32" s="210"/>
      <c r="D32" s="210"/>
      <c r="E32" s="155"/>
      <c r="F32" s="160"/>
      <c r="G32" s="160"/>
      <c r="H32" s="160"/>
      <c r="I32" s="160"/>
      <c r="J32" s="181"/>
      <c r="K32" s="182"/>
      <c r="L32" s="160"/>
      <c r="M32" s="160"/>
      <c r="N32" s="181"/>
      <c r="O32" s="98"/>
      <c r="P32" s="98"/>
      <c r="Q32" s="347"/>
      <c r="R32" s="348"/>
      <c r="S32" s="695"/>
      <c r="U32" s="89"/>
      <c r="V32" s="658"/>
      <c r="W32" s="1">
        <v>300</v>
      </c>
      <c r="X32" s="139" t="s">
        <v>410</v>
      </c>
      <c r="Y32" s="139"/>
      <c r="Z32" s="139" t="s">
        <v>401</v>
      </c>
      <c r="AA32" s="139"/>
      <c r="AB32" s="139" t="s">
        <v>402</v>
      </c>
      <c r="AC32" s="139" t="s">
        <v>409</v>
      </c>
      <c r="AD32" s="139" t="s">
        <v>444</v>
      </c>
      <c r="AE32" s="139" t="s">
        <v>441</v>
      </c>
      <c r="AF32" s="139" t="s">
        <v>414</v>
      </c>
      <c r="AG32" s="139" t="s">
        <v>407</v>
      </c>
      <c r="AH32" s="139" t="s">
        <v>407</v>
      </c>
      <c r="AI32" s="139" t="s">
        <v>407</v>
      </c>
      <c r="AJ32" s="139" t="s">
        <v>407</v>
      </c>
      <c r="AK32" s="139" t="s">
        <v>407</v>
      </c>
      <c r="AL32" s="137"/>
      <c r="AM32" s="137"/>
      <c r="AN32" s="137"/>
      <c r="AO32" s="138"/>
      <c r="AP32" s="138"/>
      <c r="AQ32" s="89"/>
    </row>
    <row r="33" spans="1:43" ht="13.15" customHeight="1" x14ac:dyDescent="0.2">
      <c r="A33" s="19" t="s">
        <v>256</v>
      </c>
      <c r="B33" s="60"/>
      <c r="C33" s="24">
        <v>100</v>
      </c>
      <c r="D33" s="24">
        <v>150</v>
      </c>
      <c r="E33" s="583" t="s">
        <v>529</v>
      </c>
      <c r="F33" s="549"/>
      <c r="G33" s="549"/>
      <c r="H33" s="549"/>
      <c r="I33" s="549"/>
      <c r="J33" s="550"/>
      <c r="K33" s="584" t="s">
        <v>418</v>
      </c>
      <c r="L33" s="549"/>
      <c r="M33" s="549"/>
      <c r="N33" s="550"/>
      <c r="O33" s="98" t="s">
        <v>236</v>
      </c>
      <c r="P33" s="98" t="s">
        <v>328</v>
      </c>
      <c r="Q33" s="585" t="s">
        <v>332</v>
      </c>
      <c r="R33" s="615"/>
      <c r="S33" s="695"/>
      <c r="T33" s="60" t="s">
        <v>524</v>
      </c>
      <c r="U33" s="322"/>
      <c r="V33" s="658"/>
      <c r="W33" s="1">
        <v>350</v>
      </c>
      <c r="X33" s="139" t="s">
        <v>410</v>
      </c>
      <c r="Y33" s="139"/>
      <c r="Z33" s="139" t="s">
        <v>401</v>
      </c>
      <c r="AA33" s="139"/>
      <c r="AB33" s="139" t="s">
        <v>402</v>
      </c>
      <c r="AC33" s="139" t="s">
        <v>409</v>
      </c>
      <c r="AD33" s="139" t="s">
        <v>444</v>
      </c>
      <c r="AE33" s="139" t="s">
        <v>441</v>
      </c>
      <c r="AF33" s="139" t="s">
        <v>414</v>
      </c>
      <c r="AG33" s="139" t="s">
        <v>412</v>
      </c>
      <c r="AH33" s="139" t="s">
        <v>407</v>
      </c>
      <c r="AI33" s="139" t="s">
        <v>407</v>
      </c>
      <c r="AJ33" s="139" t="s">
        <v>407</v>
      </c>
      <c r="AK33" s="139" t="s">
        <v>407</v>
      </c>
      <c r="AL33" s="139" t="s">
        <v>407</v>
      </c>
      <c r="AM33" s="137"/>
      <c r="AN33" s="137"/>
      <c r="AO33" s="138"/>
      <c r="AP33" s="138"/>
      <c r="AQ33" s="89"/>
    </row>
    <row r="34" spans="1:43" ht="13.15" customHeight="1" x14ac:dyDescent="0.2">
      <c r="A34" s="19"/>
      <c r="B34" s="60"/>
      <c r="C34" s="24">
        <v>200</v>
      </c>
      <c r="D34" s="24">
        <v>600</v>
      </c>
      <c r="E34" s="583" t="s">
        <v>528</v>
      </c>
      <c r="F34" s="549"/>
      <c r="G34" s="549"/>
      <c r="H34" s="549"/>
      <c r="I34" s="549"/>
      <c r="J34" s="550"/>
      <c r="K34" s="584" t="s">
        <v>418</v>
      </c>
      <c r="L34" s="549"/>
      <c r="M34" s="549"/>
      <c r="N34" s="550"/>
      <c r="O34" s="165" t="s">
        <v>236</v>
      </c>
      <c r="P34" s="98" t="s">
        <v>328</v>
      </c>
      <c r="Q34" s="585" t="s">
        <v>332</v>
      </c>
      <c r="R34" s="615"/>
      <c r="S34" s="695"/>
      <c r="T34" s="60" t="s">
        <v>525</v>
      </c>
      <c r="U34" s="89"/>
      <c r="V34" s="658"/>
      <c r="W34" s="1">
        <v>400</v>
      </c>
      <c r="X34" s="139" t="s">
        <v>410</v>
      </c>
      <c r="Y34" s="139"/>
      <c r="Z34" s="139" t="s">
        <v>401</v>
      </c>
      <c r="AA34" s="139"/>
      <c r="AB34" s="139" t="s">
        <v>402</v>
      </c>
      <c r="AC34" s="139" t="s">
        <v>409</v>
      </c>
      <c r="AD34" s="139" t="s">
        <v>444</v>
      </c>
      <c r="AE34" s="139" t="s">
        <v>441</v>
      </c>
      <c r="AF34" s="139" t="s">
        <v>414</v>
      </c>
      <c r="AG34" s="139" t="s">
        <v>412</v>
      </c>
      <c r="AH34" s="141" t="s">
        <v>407</v>
      </c>
      <c r="AI34" s="141" t="s">
        <v>407</v>
      </c>
      <c r="AJ34" s="141" t="s">
        <v>407</v>
      </c>
      <c r="AK34" s="141" t="s">
        <v>407</v>
      </c>
      <c r="AL34" s="141" t="s">
        <v>407</v>
      </c>
      <c r="AM34" s="141" t="s">
        <v>407</v>
      </c>
      <c r="AN34" s="137"/>
      <c r="AO34" s="138"/>
      <c r="AP34" s="138"/>
      <c r="AQ34" s="89"/>
    </row>
    <row r="35" spans="1:43" ht="13.15" customHeight="1" x14ac:dyDescent="0.2">
      <c r="A35" s="19"/>
      <c r="B35" s="60"/>
      <c r="C35" s="24"/>
      <c r="D35" s="24"/>
      <c r="E35" s="583" t="s">
        <v>530</v>
      </c>
      <c r="F35" s="549"/>
      <c r="G35" s="549"/>
      <c r="H35" s="549"/>
      <c r="I35" s="549"/>
      <c r="J35" s="550"/>
      <c r="K35" s="584">
        <v>1.5415000000000001</v>
      </c>
      <c r="L35" s="549"/>
      <c r="M35" s="549"/>
      <c r="N35" s="550"/>
      <c r="O35" s="165" t="s">
        <v>236</v>
      </c>
      <c r="P35" s="98" t="s">
        <v>257</v>
      </c>
      <c r="Q35" s="585" t="s">
        <v>721</v>
      </c>
      <c r="R35" s="615"/>
      <c r="S35" s="695"/>
      <c r="U35" s="89"/>
      <c r="V35" s="658"/>
      <c r="W35" s="1">
        <v>450</v>
      </c>
      <c r="X35" s="139" t="s">
        <v>410</v>
      </c>
      <c r="Y35" s="139"/>
      <c r="Z35" s="139" t="s">
        <v>401</v>
      </c>
      <c r="AA35" s="139"/>
      <c r="AB35" s="139" t="s">
        <v>402</v>
      </c>
      <c r="AC35" s="139" t="s">
        <v>409</v>
      </c>
      <c r="AD35" s="139" t="s">
        <v>444</v>
      </c>
      <c r="AE35" s="139" t="s">
        <v>441</v>
      </c>
      <c r="AF35" s="139" t="s">
        <v>414</v>
      </c>
      <c r="AG35" s="139" t="s">
        <v>412</v>
      </c>
      <c r="AH35" s="141" t="s">
        <v>688</v>
      </c>
      <c r="AI35" s="141" t="s">
        <v>407</v>
      </c>
      <c r="AJ35" s="141" t="s">
        <v>407</v>
      </c>
      <c r="AK35" s="141" t="s">
        <v>407</v>
      </c>
      <c r="AL35" s="141" t="s">
        <v>407</v>
      </c>
      <c r="AM35" s="141" t="s">
        <v>407</v>
      </c>
      <c r="AN35" s="141" t="s">
        <v>407</v>
      </c>
      <c r="AO35" s="138"/>
      <c r="AP35" s="138"/>
      <c r="AQ35" s="89"/>
    </row>
    <row r="36" spans="1:43" ht="13.15" customHeight="1" x14ac:dyDescent="0.2">
      <c r="A36" s="19"/>
      <c r="B36" s="60"/>
      <c r="C36" s="24"/>
      <c r="D36" s="24"/>
      <c r="E36" s="583" t="s">
        <v>327</v>
      </c>
      <c r="F36" s="549"/>
      <c r="G36" s="549"/>
      <c r="H36" s="549"/>
      <c r="I36" s="549"/>
      <c r="J36" s="550"/>
      <c r="K36" s="584" t="s">
        <v>330</v>
      </c>
      <c r="L36" s="549"/>
      <c r="M36" s="549"/>
      <c r="N36" s="550"/>
      <c r="O36" s="98" t="s">
        <v>236</v>
      </c>
      <c r="P36" s="98" t="s">
        <v>257</v>
      </c>
      <c r="Q36" s="585" t="s">
        <v>329</v>
      </c>
      <c r="R36" s="615"/>
      <c r="S36" s="695"/>
      <c r="U36" s="89"/>
      <c r="V36" s="658"/>
      <c r="W36" s="1">
        <v>500</v>
      </c>
      <c r="X36" s="139" t="s">
        <v>410</v>
      </c>
      <c r="Y36" s="139"/>
      <c r="Z36" s="139" t="s">
        <v>401</v>
      </c>
      <c r="AA36" s="139"/>
      <c r="AB36" s="139" t="s">
        <v>402</v>
      </c>
      <c r="AC36" s="139" t="s">
        <v>409</v>
      </c>
      <c r="AD36" s="139" t="s">
        <v>444</v>
      </c>
      <c r="AE36" s="139" t="s">
        <v>441</v>
      </c>
      <c r="AF36" s="139" t="s">
        <v>414</v>
      </c>
      <c r="AG36" s="139" t="s">
        <v>412</v>
      </c>
      <c r="AH36" s="141" t="s">
        <v>688</v>
      </c>
      <c r="AI36" s="139" t="s">
        <v>415</v>
      </c>
      <c r="AJ36" s="139" t="s">
        <v>396</v>
      </c>
      <c r="AK36" s="139" t="s">
        <v>396</v>
      </c>
      <c r="AL36" s="139" t="s">
        <v>396</v>
      </c>
      <c r="AM36" s="139" t="s">
        <v>396</v>
      </c>
      <c r="AN36" s="139" t="s">
        <v>396</v>
      </c>
      <c r="AO36" s="139" t="s">
        <v>396</v>
      </c>
      <c r="AP36" s="138"/>
      <c r="AQ36" s="89"/>
    </row>
    <row r="37" spans="1:43" ht="13.15" customHeight="1" x14ac:dyDescent="0.2">
      <c r="A37" s="19" t="s">
        <v>258</v>
      </c>
      <c r="B37" s="60"/>
      <c r="C37" s="24">
        <v>15</v>
      </c>
      <c r="D37" s="24">
        <v>40</v>
      </c>
      <c r="E37" s="583" t="s">
        <v>271</v>
      </c>
      <c r="F37" s="549"/>
      <c r="G37" s="549"/>
      <c r="H37" s="549"/>
      <c r="I37" s="549"/>
      <c r="J37" s="550"/>
      <c r="K37" s="584" t="s">
        <v>323</v>
      </c>
      <c r="L37" s="549"/>
      <c r="M37" s="549"/>
      <c r="N37" s="550"/>
      <c r="O37" s="98" t="s">
        <v>236</v>
      </c>
      <c r="P37" s="98" t="s">
        <v>246</v>
      </c>
      <c r="Q37" s="585" t="s">
        <v>306</v>
      </c>
      <c r="R37" s="615"/>
      <c r="S37" s="695"/>
      <c r="U37" s="89"/>
      <c r="V37" s="658"/>
      <c r="W37" s="1">
        <v>600</v>
      </c>
      <c r="X37" s="139" t="s">
        <v>410</v>
      </c>
      <c r="Y37" s="139"/>
      <c r="Z37" s="139" t="s">
        <v>401</v>
      </c>
      <c r="AA37" s="139"/>
      <c r="AB37" s="139" t="s">
        <v>402</v>
      </c>
      <c r="AC37" s="139" t="s">
        <v>409</v>
      </c>
      <c r="AD37" s="139" t="s">
        <v>444</v>
      </c>
      <c r="AE37" s="139" t="s">
        <v>441</v>
      </c>
      <c r="AF37" s="139" t="s">
        <v>414</v>
      </c>
      <c r="AG37" s="139" t="s">
        <v>412</v>
      </c>
      <c r="AH37" s="141" t="s">
        <v>688</v>
      </c>
      <c r="AI37" s="142" t="s">
        <v>411</v>
      </c>
      <c r="AJ37" s="139" t="s">
        <v>396</v>
      </c>
      <c r="AK37" s="139" t="s">
        <v>396</v>
      </c>
      <c r="AL37" s="139" t="s">
        <v>396</v>
      </c>
      <c r="AM37" s="139" t="s">
        <v>396</v>
      </c>
      <c r="AN37" s="139" t="s">
        <v>396</v>
      </c>
      <c r="AO37" s="139" t="s">
        <v>396</v>
      </c>
      <c r="AP37" s="139" t="s">
        <v>396</v>
      </c>
      <c r="AQ37" s="89"/>
    </row>
    <row r="38" spans="1:43" ht="13.15" customHeight="1" x14ac:dyDescent="0.2">
      <c r="A38" s="19"/>
      <c r="B38" s="60"/>
      <c r="C38" s="24">
        <v>50</v>
      </c>
      <c r="D38" s="24">
        <v>600</v>
      </c>
      <c r="E38" s="713" t="s">
        <v>378</v>
      </c>
      <c r="F38" s="714"/>
      <c r="G38" s="714"/>
      <c r="H38" s="714"/>
      <c r="I38" s="714"/>
      <c r="J38" s="715"/>
      <c r="K38" s="720" t="s">
        <v>418</v>
      </c>
      <c r="L38" s="714"/>
      <c r="M38" s="714"/>
      <c r="N38" s="715"/>
      <c r="O38" s="98" t="s">
        <v>236</v>
      </c>
      <c r="P38" s="98" t="s">
        <v>328</v>
      </c>
      <c r="Q38" s="718" t="s">
        <v>332</v>
      </c>
      <c r="R38" s="807"/>
      <c r="S38" s="696"/>
      <c r="T38" s="95"/>
      <c r="U38" s="96"/>
      <c r="V38" s="658"/>
      <c r="W38" s="1">
        <v>700</v>
      </c>
      <c r="X38" s="288"/>
      <c r="Y38" s="288"/>
      <c r="Z38" s="288"/>
      <c r="AA38" s="288"/>
      <c r="AB38" s="288"/>
      <c r="AC38" s="288"/>
      <c r="AD38" s="288"/>
      <c r="AE38" s="288"/>
      <c r="AF38" s="288"/>
      <c r="AG38" s="288"/>
      <c r="AH38" s="288"/>
      <c r="AI38" s="288"/>
      <c r="AJ38" s="288"/>
      <c r="AK38" s="288"/>
      <c r="AL38" s="288"/>
      <c r="AM38" s="288"/>
      <c r="AN38" s="288"/>
      <c r="AO38" s="288"/>
      <c r="AP38" s="288"/>
      <c r="AQ38" s="89"/>
    </row>
    <row r="39" spans="1:43" ht="13.15" customHeight="1" x14ac:dyDescent="0.2">
      <c r="A39" s="26" t="s">
        <v>317</v>
      </c>
      <c r="B39" s="454"/>
      <c r="C39" s="29">
        <v>25</v>
      </c>
      <c r="D39" s="25">
        <v>600</v>
      </c>
      <c r="E39" s="561" t="s">
        <v>384</v>
      </c>
      <c r="F39" s="562"/>
      <c r="G39" s="562"/>
      <c r="H39" s="562"/>
      <c r="I39" s="562"/>
      <c r="J39" s="563"/>
      <c r="K39" s="564" t="s">
        <v>323</v>
      </c>
      <c r="L39" s="562"/>
      <c r="M39" s="562"/>
      <c r="N39" s="563"/>
      <c r="O39" s="97" t="s">
        <v>236</v>
      </c>
      <c r="P39" s="97" t="s">
        <v>246</v>
      </c>
      <c r="Q39" s="565" t="s">
        <v>306</v>
      </c>
      <c r="R39" s="566"/>
      <c r="S39" s="688" t="s">
        <v>357</v>
      </c>
      <c r="T39" s="689"/>
      <c r="U39" s="690"/>
      <c r="V39" s="658"/>
      <c r="W39" s="61">
        <v>800</v>
      </c>
      <c r="X39" s="288"/>
      <c r="Y39" s="288"/>
      <c r="Z39" s="288"/>
      <c r="AA39" s="288"/>
      <c r="AB39" s="288"/>
      <c r="AC39" s="288"/>
      <c r="AD39" s="288"/>
      <c r="AE39" s="288"/>
      <c r="AF39" s="288"/>
      <c r="AG39" s="288"/>
      <c r="AH39" s="288"/>
      <c r="AI39" s="288"/>
      <c r="AJ39" s="288"/>
      <c r="AK39" s="288"/>
      <c r="AL39" s="288"/>
      <c r="AM39" s="288"/>
      <c r="AN39" s="288"/>
      <c r="AO39" s="288"/>
      <c r="AP39" s="288"/>
      <c r="AQ39" s="89"/>
    </row>
    <row r="40" spans="1:43" ht="13.15" customHeight="1" x14ac:dyDescent="0.2">
      <c r="A40" s="19"/>
      <c r="B40" s="60"/>
      <c r="C40" s="24"/>
      <c r="D40" s="23"/>
      <c r="E40" s="155"/>
      <c r="F40" s="160"/>
      <c r="G40" s="160"/>
      <c r="H40" s="160"/>
      <c r="I40" s="160"/>
      <c r="J40" s="181"/>
      <c r="K40" s="182"/>
      <c r="L40" s="160"/>
      <c r="M40" s="160"/>
      <c r="N40" s="181"/>
      <c r="O40" s="98"/>
      <c r="P40" s="98"/>
      <c r="Q40" s="347"/>
      <c r="R40" s="348"/>
      <c r="S40" s="691"/>
      <c r="T40" s="692"/>
      <c r="U40" s="693"/>
      <c r="V40" s="658"/>
      <c r="W40" s="61">
        <v>900</v>
      </c>
      <c r="X40" s="288"/>
      <c r="Y40" s="288"/>
      <c r="Z40" s="288"/>
      <c r="AA40" s="288"/>
      <c r="AB40" s="288"/>
      <c r="AC40" s="288"/>
      <c r="AD40" s="288"/>
      <c r="AE40" s="288"/>
      <c r="AF40" s="288"/>
      <c r="AG40" s="288"/>
      <c r="AH40" s="288"/>
      <c r="AI40" s="288"/>
      <c r="AJ40" s="288"/>
      <c r="AK40" s="288"/>
      <c r="AL40" s="288"/>
      <c r="AM40" s="288"/>
      <c r="AN40" s="288"/>
      <c r="AO40" s="288"/>
      <c r="AP40" s="288"/>
      <c r="AQ40" s="89"/>
    </row>
    <row r="41" spans="1:43" ht="13.15" customHeight="1" x14ac:dyDescent="0.2">
      <c r="A41" s="20"/>
      <c r="B41" s="424"/>
      <c r="C41" s="28"/>
      <c r="D41" s="27"/>
      <c r="E41" s="320"/>
      <c r="F41" s="124"/>
      <c r="G41" s="124"/>
      <c r="H41" s="124"/>
      <c r="I41" s="124"/>
      <c r="J41" s="354"/>
      <c r="K41" s="321"/>
      <c r="L41" s="124"/>
      <c r="M41" s="124"/>
      <c r="N41" s="354"/>
      <c r="O41" s="110"/>
      <c r="P41" s="99"/>
      <c r="Q41" s="80"/>
      <c r="R41" s="80"/>
      <c r="S41" s="94"/>
      <c r="T41" s="95"/>
      <c r="U41" s="96"/>
      <c r="V41" s="263"/>
      <c r="X41">
        <v>15</v>
      </c>
      <c r="Y41" s="453" t="s">
        <v>642</v>
      </c>
      <c r="Z41">
        <v>25</v>
      </c>
      <c r="AA41" s="453" t="s">
        <v>643</v>
      </c>
      <c r="AB41">
        <v>40</v>
      </c>
      <c r="AC41">
        <v>50</v>
      </c>
      <c r="AD41" s="228" t="s">
        <v>295</v>
      </c>
      <c r="AE41">
        <v>80</v>
      </c>
      <c r="AF41">
        <v>100</v>
      </c>
      <c r="AG41" s="228" t="s">
        <v>296</v>
      </c>
      <c r="AH41">
        <v>150</v>
      </c>
      <c r="AI41">
        <v>200</v>
      </c>
      <c r="AJ41">
        <v>250</v>
      </c>
      <c r="AK41">
        <v>300</v>
      </c>
      <c r="AL41">
        <v>350</v>
      </c>
      <c r="AM41" s="2">
        <v>400</v>
      </c>
      <c r="AN41" s="2">
        <v>450</v>
      </c>
      <c r="AO41" s="2">
        <v>500</v>
      </c>
      <c r="AP41" s="2">
        <v>600</v>
      </c>
      <c r="AQ41" s="89"/>
    </row>
    <row r="42" spans="1:43" ht="13.15" customHeight="1" x14ac:dyDescent="0.2">
      <c r="A42" s="19" t="s">
        <v>215</v>
      </c>
      <c r="B42" s="60"/>
      <c r="C42" s="24">
        <v>15</v>
      </c>
      <c r="D42" s="24">
        <v>600</v>
      </c>
      <c r="E42" s="561" t="s">
        <v>247</v>
      </c>
      <c r="F42" s="562"/>
      <c r="G42" s="562"/>
      <c r="H42" s="562"/>
      <c r="I42" s="562"/>
      <c r="J42" s="563"/>
      <c r="K42" s="564" t="s">
        <v>536</v>
      </c>
      <c r="L42" s="562"/>
      <c r="M42" s="562"/>
      <c r="N42" s="563"/>
      <c r="O42" s="97" t="s">
        <v>236</v>
      </c>
      <c r="P42" s="97" t="s">
        <v>246</v>
      </c>
      <c r="Q42" s="565" t="s">
        <v>306</v>
      </c>
      <c r="R42" s="566"/>
      <c r="S42" s="109"/>
      <c r="T42" s="91"/>
      <c r="U42" s="92"/>
      <c r="V42" s="290"/>
      <c r="X42" s="659" t="s">
        <v>275</v>
      </c>
      <c r="Y42" s="660"/>
      <c r="Z42" s="660"/>
      <c r="AA42" s="660"/>
      <c r="AB42" s="660"/>
      <c r="AC42" s="660"/>
      <c r="AD42" s="660"/>
      <c r="AE42" s="660"/>
      <c r="AF42" s="660"/>
      <c r="AG42" s="660"/>
      <c r="AH42" s="660"/>
      <c r="AI42" s="660"/>
      <c r="AJ42" s="660"/>
      <c r="AK42" s="660"/>
      <c r="AL42" s="660"/>
      <c r="AM42" s="660"/>
      <c r="AN42" s="660"/>
      <c r="AO42" s="660"/>
      <c r="AP42" s="660"/>
      <c r="AQ42" s="89"/>
    </row>
    <row r="43" spans="1:43" ht="13.15" customHeight="1" x14ac:dyDescent="0.2">
      <c r="A43" s="19"/>
      <c r="B43" s="60"/>
      <c r="C43" s="24"/>
      <c r="D43" s="24"/>
      <c r="E43" s="155"/>
      <c r="F43" s="160"/>
      <c r="G43" s="160"/>
      <c r="H43" s="160"/>
      <c r="I43" s="160"/>
      <c r="J43" s="181"/>
      <c r="K43" s="182"/>
      <c r="L43" s="160"/>
      <c r="M43" s="160"/>
      <c r="N43" s="181"/>
      <c r="O43" s="98"/>
      <c r="P43" s="98"/>
      <c r="Q43" s="347"/>
      <c r="R43" s="161"/>
      <c r="S43" s="88"/>
      <c r="U43" s="89"/>
      <c r="V43" s="263"/>
      <c r="W43" s="2"/>
      <c r="X43" s="289"/>
      <c r="Y43" s="137"/>
      <c r="Z43" s="137"/>
      <c r="AQ43" s="89"/>
    </row>
    <row r="44" spans="1:43" ht="13.15" customHeight="1" x14ac:dyDescent="0.2">
      <c r="A44" s="20"/>
      <c r="B44" s="424"/>
      <c r="C44" s="28"/>
      <c r="D44" s="28"/>
      <c r="E44" s="320"/>
      <c r="F44" s="124"/>
      <c r="G44" s="124"/>
      <c r="H44" s="124"/>
      <c r="I44" s="124"/>
      <c r="J44" s="354"/>
      <c r="K44" s="321"/>
      <c r="L44" s="124"/>
      <c r="M44" s="124"/>
      <c r="N44" s="354"/>
      <c r="O44" s="110"/>
      <c r="P44" s="110"/>
      <c r="Q44" s="80"/>
      <c r="R44" s="80"/>
      <c r="S44" s="94"/>
      <c r="T44" s="95"/>
      <c r="U44" s="96"/>
      <c r="V44" s="290"/>
      <c r="W44"/>
      <c r="X44" s="289"/>
      <c r="Y44" s="289"/>
      <c r="Z44" s="137"/>
      <c r="AQ44" s="89"/>
    </row>
    <row r="45" spans="1:43" ht="13.15" customHeight="1" x14ac:dyDescent="0.2">
      <c r="A45" s="19" t="s">
        <v>214</v>
      </c>
      <c r="B45" s="60"/>
      <c r="C45" s="24">
        <v>15</v>
      </c>
      <c r="D45" s="24">
        <v>50</v>
      </c>
      <c r="E45" s="561" t="s">
        <v>481</v>
      </c>
      <c r="F45" s="716"/>
      <c r="G45" s="716"/>
      <c r="H45" s="716"/>
      <c r="I45" s="716"/>
      <c r="J45" s="717"/>
      <c r="K45" s="564" t="s">
        <v>318</v>
      </c>
      <c r="L45" s="716"/>
      <c r="M45" s="716"/>
      <c r="N45" s="717"/>
      <c r="O45" s="97" t="s">
        <v>341</v>
      </c>
      <c r="P45" s="97" t="s">
        <v>363</v>
      </c>
      <c r="Q45" s="565" t="s">
        <v>309</v>
      </c>
      <c r="R45" s="724"/>
      <c r="S45" s="109"/>
      <c r="T45" s="91"/>
      <c r="U45" s="92"/>
      <c r="V45" s="657" t="s">
        <v>274</v>
      </c>
      <c r="W45" s="118">
        <v>700</v>
      </c>
      <c r="X45" s="139"/>
      <c r="Y45" s="147"/>
      <c r="Z45" s="137"/>
      <c r="AQ45" s="89"/>
    </row>
    <row r="46" spans="1:43" ht="13.15" customHeight="1" x14ac:dyDescent="0.2">
      <c r="A46" s="19"/>
      <c r="B46" s="60"/>
      <c r="C46" s="24">
        <v>65</v>
      </c>
      <c r="D46" s="24">
        <v>600</v>
      </c>
      <c r="E46" s="583" t="s">
        <v>481</v>
      </c>
      <c r="F46" s="725"/>
      <c r="G46" s="725"/>
      <c r="H46" s="725"/>
      <c r="I46" s="725"/>
      <c r="J46" s="726"/>
      <c r="K46" s="584" t="s">
        <v>318</v>
      </c>
      <c r="L46" s="725"/>
      <c r="M46" s="725"/>
      <c r="N46" s="726"/>
      <c r="O46" s="98" t="s">
        <v>387</v>
      </c>
      <c r="P46" s="98" t="s">
        <v>363</v>
      </c>
      <c r="Q46" s="585" t="s">
        <v>309</v>
      </c>
      <c r="R46" s="727"/>
      <c r="S46" s="88"/>
      <c r="U46" s="89"/>
      <c r="V46" s="658"/>
      <c r="W46" s="1">
        <v>800</v>
      </c>
      <c r="X46" s="139"/>
      <c r="Y46" s="139"/>
      <c r="Z46" s="137"/>
      <c r="AQ46" s="89"/>
    </row>
    <row r="47" spans="1:43" ht="13.15" customHeight="1" x14ac:dyDescent="0.2">
      <c r="A47" s="19"/>
      <c r="B47" s="60"/>
      <c r="C47" s="28">
        <v>450</v>
      </c>
      <c r="D47" s="27">
        <v>600</v>
      </c>
      <c r="E47" s="713" t="s">
        <v>481</v>
      </c>
      <c r="F47" s="714"/>
      <c r="G47" s="714"/>
      <c r="H47" s="714"/>
      <c r="I47" s="714"/>
      <c r="J47" s="715"/>
      <c r="K47" s="720" t="s">
        <v>686</v>
      </c>
      <c r="L47" s="714"/>
      <c r="M47" s="714"/>
      <c r="N47" s="715"/>
      <c r="O47" s="110" t="s">
        <v>387</v>
      </c>
      <c r="P47" s="110" t="s">
        <v>363</v>
      </c>
      <c r="Q47" s="718" t="s">
        <v>309</v>
      </c>
      <c r="R47" s="719"/>
      <c r="S47" s="739" t="s">
        <v>687</v>
      </c>
      <c r="T47" s="555"/>
      <c r="U47" s="96"/>
      <c r="V47" s="658"/>
      <c r="W47" s="1">
        <v>900</v>
      </c>
      <c r="X47" s="139"/>
      <c r="Y47" s="139"/>
      <c r="Z47" s="139"/>
      <c r="AQ47" s="89"/>
    </row>
    <row r="48" spans="1:43" ht="13.15" customHeight="1" x14ac:dyDescent="0.2">
      <c r="A48" s="26" t="s">
        <v>213</v>
      </c>
      <c r="B48" s="435"/>
      <c r="C48" s="24">
        <v>15</v>
      </c>
      <c r="D48" s="24">
        <v>50</v>
      </c>
      <c r="E48" s="561" t="s">
        <v>482</v>
      </c>
      <c r="F48" s="716"/>
      <c r="G48" s="716"/>
      <c r="H48" s="716"/>
      <c r="I48" s="716"/>
      <c r="J48" s="717"/>
      <c r="K48" s="564" t="s">
        <v>319</v>
      </c>
      <c r="L48" s="716"/>
      <c r="M48" s="716"/>
      <c r="N48" s="717"/>
      <c r="O48" s="97" t="s">
        <v>341</v>
      </c>
      <c r="P48" s="97" t="s">
        <v>248</v>
      </c>
      <c r="Q48" s="565" t="s">
        <v>309</v>
      </c>
      <c r="R48" s="724"/>
      <c r="S48" s="109"/>
      <c r="T48" s="91"/>
      <c r="U48" s="92"/>
      <c r="V48" s="658"/>
      <c r="W48"/>
      <c r="X48">
        <v>700</v>
      </c>
      <c r="Y48">
        <v>800</v>
      </c>
      <c r="Z48">
        <v>900</v>
      </c>
      <c r="AQ48" s="89"/>
    </row>
    <row r="49" spans="1:43" ht="13.15" customHeight="1" x14ac:dyDescent="0.2">
      <c r="A49" s="19"/>
      <c r="B49" s="60"/>
      <c r="C49" s="24">
        <v>65</v>
      </c>
      <c r="D49" s="24">
        <v>600</v>
      </c>
      <c r="E49" s="583" t="s">
        <v>482</v>
      </c>
      <c r="F49" s="725"/>
      <c r="G49" s="725"/>
      <c r="H49" s="725"/>
      <c r="I49" s="725"/>
      <c r="J49" s="726"/>
      <c r="K49" s="584" t="s">
        <v>319</v>
      </c>
      <c r="L49" s="725"/>
      <c r="M49" s="725"/>
      <c r="N49" s="726"/>
      <c r="O49" s="98" t="s">
        <v>387</v>
      </c>
      <c r="P49" s="98" t="s">
        <v>248</v>
      </c>
      <c r="Q49" s="585" t="s">
        <v>309</v>
      </c>
      <c r="R49" s="727"/>
      <c r="S49" s="88"/>
      <c r="U49" s="89"/>
      <c r="V49" s="290"/>
      <c r="W49"/>
      <c r="X49" s="659" t="s">
        <v>275</v>
      </c>
      <c r="Y49" s="660"/>
      <c r="Z49" s="660"/>
      <c r="AQ49" s="89"/>
    </row>
    <row r="50" spans="1:43" ht="13.15" customHeight="1" x14ac:dyDescent="0.2">
      <c r="A50" s="20"/>
      <c r="B50" s="424"/>
      <c r="C50" s="28"/>
      <c r="D50" s="28"/>
      <c r="E50" s="320"/>
      <c r="F50" s="124"/>
      <c r="G50" s="124"/>
      <c r="H50" s="124"/>
      <c r="I50" s="124"/>
      <c r="J50" s="354"/>
      <c r="K50" s="321"/>
      <c r="L50" s="124"/>
      <c r="M50" s="124"/>
      <c r="N50" s="124"/>
      <c r="O50" s="110"/>
      <c r="P50" s="110"/>
      <c r="Q50" s="80"/>
      <c r="R50" s="80"/>
      <c r="S50" s="94"/>
      <c r="T50" s="95"/>
      <c r="U50" s="96"/>
      <c r="V50" s="21"/>
      <c r="Y50"/>
      <c r="Z50"/>
      <c r="AA50"/>
      <c r="AB50"/>
      <c r="AC50"/>
      <c r="AD50"/>
      <c r="AE50"/>
      <c r="AQ50" s="89"/>
    </row>
    <row r="51" spans="1:43" ht="13.15" customHeight="1" x14ac:dyDescent="0.2">
      <c r="A51" s="19" t="s">
        <v>264</v>
      </c>
      <c r="B51" s="60"/>
      <c r="C51" s="24" t="s">
        <v>313</v>
      </c>
      <c r="D51" s="24" t="s">
        <v>314</v>
      </c>
      <c r="E51" s="561" t="s">
        <v>310</v>
      </c>
      <c r="F51" s="562"/>
      <c r="G51" s="562"/>
      <c r="H51" s="562"/>
      <c r="I51" s="562"/>
      <c r="J51" s="563"/>
      <c r="K51" s="564" t="s">
        <v>655</v>
      </c>
      <c r="L51" s="562"/>
      <c r="M51" s="562"/>
      <c r="N51" s="563"/>
      <c r="O51" s="97" t="s">
        <v>668</v>
      </c>
      <c r="P51" s="97" t="s">
        <v>257</v>
      </c>
      <c r="Q51" s="565" t="s">
        <v>311</v>
      </c>
      <c r="R51" s="566"/>
      <c r="S51" s="109"/>
      <c r="T51" s="91"/>
      <c r="U51" s="92"/>
      <c r="V51" s="21"/>
      <c r="X51" s="2"/>
      <c r="AQ51" s="89"/>
    </row>
    <row r="52" spans="1:43" ht="13.15" customHeight="1" x14ac:dyDescent="0.2">
      <c r="A52" s="20"/>
      <c r="B52" s="424"/>
      <c r="C52" s="28"/>
      <c r="D52" s="28"/>
      <c r="E52" s="320"/>
      <c r="F52" s="349"/>
      <c r="G52" s="349"/>
      <c r="H52" s="349"/>
      <c r="I52" s="349"/>
      <c r="J52" s="350"/>
      <c r="K52" s="321"/>
      <c r="L52" s="349"/>
      <c r="M52" s="349"/>
      <c r="N52" s="350"/>
      <c r="O52" s="146"/>
      <c r="P52" s="146"/>
      <c r="Q52" s="351"/>
      <c r="R52" s="352"/>
      <c r="S52" s="88"/>
      <c r="U52" s="89"/>
      <c r="V52" s="21"/>
      <c r="AQ52" s="89"/>
    </row>
    <row r="53" spans="1:43" ht="13.15" customHeight="1" x14ac:dyDescent="0.2">
      <c r="A53" s="19" t="s">
        <v>212</v>
      </c>
      <c r="B53" s="60"/>
      <c r="C53" s="24" t="s">
        <v>313</v>
      </c>
      <c r="D53" s="24" t="s">
        <v>314</v>
      </c>
      <c r="E53" s="561" t="s">
        <v>315</v>
      </c>
      <c r="F53" s="562"/>
      <c r="G53" s="562"/>
      <c r="H53" s="562"/>
      <c r="I53" s="562"/>
      <c r="J53" s="563"/>
      <c r="K53" s="564" t="s">
        <v>655</v>
      </c>
      <c r="L53" s="562"/>
      <c r="M53" s="562"/>
      <c r="N53" s="563"/>
      <c r="O53" s="97" t="s">
        <v>668</v>
      </c>
      <c r="P53" s="97" t="s">
        <v>257</v>
      </c>
      <c r="Q53" s="565" t="s">
        <v>316</v>
      </c>
      <c r="R53" s="566"/>
      <c r="S53" s="109"/>
      <c r="T53" s="91"/>
      <c r="U53" s="92"/>
      <c r="V53" s="21"/>
      <c r="AQ53" s="89"/>
    </row>
    <row r="54" spans="1:43" ht="13.15" customHeight="1" x14ac:dyDescent="0.2">
      <c r="A54" s="20"/>
      <c r="B54" s="424"/>
      <c r="C54" s="28"/>
      <c r="D54" s="28"/>
      <c r="E54" s="320"/>
      <c r="F54" s="349"/>
      <c r="G54" s="349"/>
      <c r="H54" s="349"/>
      <c r="I54" s="349"/>
      <c r="J54" s="350"/>
      <c r="K54" s="321"/>
      <c r="L54" s="349"/>
      <c r="M54" s="349"/>
      <c r="N54" s="350"/>
      <c r="O54" s="110"/>
      <c r="P54" s="110"/>
      <c r="Q54" s="353"/>
      <c r="R54" s="352"/>
      <c r="S54" s="94"/>
      <c r="T54" s="95"/>
      <c r="U54" s="96"/>
      <c r="V54" s="21"/>
      <c r="W54" s="513"/>
      <c r="X54" s="513"/>
      <c r="Y54" s="513"/>
      <c r="Z54" s="513"/>
      <c r="AA54" s="513"/>
      <c r="AB54" s="513"/>
      <c r="AC54" s="513"/>
      <c r="AD54" s="513"/>
      <c r="AE54" s="513"/>
      <c r="AF54" s="513"/>
      <c r="AG54" s="513"/>
      <c r="AH54" s="513"/>
      <c r="AI54" s="513"/>
      <c r="AJ54" s="513"/>
      <c r="AK54" s="513"/>
      <c r="AL54" s="513"/>
      <c r="AM54" s="513"/>
      <c r="AN54" s="513"/>
      <c r="AO54" s="513"/>
      <c r="AP54" s="513"/>
      <c r="AQ54" s="89"/>
    </row>
    <row r="55" spans="1:43" ht="13.15" customHeight="1" x14ac:dyDescent="0.2">
      <c r="A55" s="19" t="s">
        <v>211</v>
      </c>
      <c r="B55" s="60"/>
      <c r="C55" s="29">
        <v>15</v>
      </c>
      <c r="D55" s="25">
        <v>600</v>
      </c>
      <c r="E55" s="561" t="s">
        <v>273</v>
      </c>
      <c r="F55" s="728"/>
      <c r="G55" s="728"/>
      <c r="H55" s="728"/>
      <c r="I55" s="728"/>
      <c r="J55" s="729"/>
      <c r="K55" s="564" t="s">
        <v>667</v>
      </c>
      <c r="L55" s="562"/>
      <c r="M55" s="730" t="s">
        <v>272</v>
      </c>
      <c r="N55" s="563"/>
      <c r="O55" s="97" t="s">
        <v>668</v>
      </c>
      <c r="P55" s="97"/>
      <c r="Q55" s="565" t="s">
        <v>312</v>
      </c>
      <c r="R55" s="566"/>
      <c r="S55" s="109" t="s">
        <v>666</v>
      </c>
      <c r="T55" s="91"/>
      <c r="U55" s="92"/>
      <c r="V55" s="21"/>
      <c r="W55" s="624" t="s">
        <v>259</v>
      </c>
      <c r="X55" s="551" t="s">
        <v>197</v>
      </c>
      <c r="Y55" s="552"/>
      <c r="Z55" s="552"/>
      <c r="AA55" s="552"/>
      <c r="AB55" s="552"/>
      <c r="AC55" s="552"/>
      <c r="AD55" s="553"/>
      <c r="AE55" s="557" t="s">
        <v>241</v>
      </c>
      <c r="AF55" s="552"/>
      <c r="AG55" s="552"/>
      <c r="AH55" s="553"/>
      <c r="AI55" s="559" t="s">
        <v>243</v>
      </c>
      <c r="AJ55" s="559" t="s">
        <v>242</v>
      </c>
      <c r="AK55" s="557" t="s">
        <v>244</v>
      </c>
      <c r="AL55" s="553"/>
      <c r="AM55" s="557" t="s">
        <v>245</v>
      </c>
      <c r="AN55" s="626"/>
      <c r="AO55" s="626"/>
      <c r="AP55" s="627"/>
      <c r="AQ55" s="89"/>
    </row>
    <row r="56" spans="1:43" ht="13.15" customHeight="1" x14ac:dyDescent="0.2">
      <c r="A56" s="19"/>
      <c r="B56" s="60"/>
      <c r="C56" s="24">
        <v>15</v>
      </c>
      <c r="D56" s="23">
        <v>600</v>
      </c>
      <c r="E56" s="805" t="s">
        <v>251</v>
      </c>
      <c r="F56" s="778"/>
      <c r="G56" s="778"/>
      <c r="H56" s="778"/>
      <c r="I56" s="778"/>
      <c r="J56" s="779"/>
      <c r="K56" s="806" t="s">
        <v>665</v>
      </c>
      <c r="L56" s="549"/>
      <c r="M56" s="731" t="s">
        <v>747</v>
      </c>
      <c r="N56" s="550"/>
      <c r="O56" s="98" t="s">
        <v>668</v>
      </c>
      <c r="P56" s="165"/>
      <c r="Q56" s="585" t="s">
        <v>312</v>
      </c>
      <c r="R56" s="615"/>
      <c r="S56" s="93" t="s">
        <v>664</v>
      </c>
      <c r="U56" s="89"/>
      <c r="V56" s="21"/>
      <c r="W56" s="625"/>
      <c r="X56" s="554"/>
      <c r="Y56" s="555"/>
      <c r="Z56" s="555"/>
      <c r="AA56" s="555"/>
      <c r="AB56" s="555"/>
      <c r="AC56" s="555"/>
      <c r="AD56" s="556"/>
      <c r="AE56" s="558"/>
      <c r="AF56" s="555"/>
      <c r="AG56" s="555"/>
      <c r="AH56" s="556"/>
      <c r="AI56" s="560"/>
      <c r="AJ56" s="560"/>
      <c r="AK56" s="558"/>
      <c r="AL56" s="556"/>
      <c r="AM56" s="628"/>
      <c r="AN56" s="586"/>
      <c r="AO56" s="586"/>
      <c r="AP56" s="629"/>
      <c r="AQ56" s="89"/>
    </row>
    <row r="57" spans="1:43" ht="13.15" customHeight="1" x14ac:dyDescent="0.2">
      <c r="A57" s="19"/>
      <c r="B57" s="60"/>
      <c r="C57" s="28">
        <v>15</v>
      </c>
      <c r="D57" s="27">
        <v>600</v>
      </c>
      <c r="E57" s="122" t="s">
        <v>263</v>
      </c>
      <c r="F57" s="449"/>
      <c r="G57" s="449"/>
      <c r="H57" s="449"/>
      <c r="I57" s="449"/>
      <c r="J57" s="450"/>
      <c r="K57" s="740" t="s">
        <v>724</v>
      </c>
      <c r="L57" s="714"/>
      <c r="M57" s="509" t="s">
        <v>748</v>
      </c>
      <c r="N57" s="512"/>
      <c r="O57" s="110" t="s">
        <v>668</v>
      </c>
      <c r="P57" s="146"/>
      <c r="Q57" s="718" t="s">
        <v>339</v>
      </c>
      <c r="R57" s="719"/>
      <c r="S57" s="369" t="s">
        <v>669</v>
      </c>
      <c r="T57" s="95"/>
      <c r="U57" s="96"/>
      <c r="V57" s="21"/>
      <c r="W57" s="127" t="s">
        <v>390</v>
      </c>
      <c r="X57" s="630" t="s">
        <v>349</v>
      </c>
      <c r="Y57" s="552"/>
      <c r="Z57" s="552"/>
      <c r="AA57" s="552"/>
      <c r="AB57" s="552"/>
      <c r="AC57" s="552"/>
      <c r="AD57" s="553"/>
      <c r="AE57" s="572">
        <v>1.0345</v>
      </c>
      <c r="AF57" s="573"/>
      <c r="AG57" s="573"/>
      <c r="AH57" s="574"/>
      <c r="AI57" s="125" t="s">
        <v>236</v>
      </c>
      <c r="AJ57" s="125" t="s">
        <v>246</v>
      </c>
      <c r="AK57" s="575" t="s">
        <v>348</v>
      </c>
      <c r="AL57" s="576"/>
      <c r="AM57" s="90"/>
      <c r="AN57" s="91"/>
      <c r="AO57" s="91"/>
      <c r="AP57" s="129"/>
      <c r="AQ57" s="89"/>
    </row>
    <row r="58" spans="1:43" ht="13.15" customHeight="1" x14ac:dyDescent="0.2">
      <c r="A58" s="375" t="s">
        <v>547</v>
      </c>
      <c r="B58" s="462"/>
      <c r="C58" s="376"/>
      <c r="D58" s="376"/>
      <c r="E58" s="587"/>
      <c r="F58" s="588"/>
      <c r="G58" s="588"/>
      <c r="H58" s="588"/>
      <c r="I58" s="588"/>
      <c r="J58" s="589"/>
      <c r="K58" s="590"/>
      <c r="L58" s="588"/>
      <c r="M58" s="588"/>
      <c r="N58" s="589"/>
      <c r="O58" s="377"/>
      <c r="P58" s="377"/>
      <c r="Q58" s="591" t="s">
        <v>549</v>
      </c>
      <c r="R58" s="592"/>
      <c r="S58" s="378"/>
      <c r="T58" s="379"/>
      <c r="U58" s="380"/>
      <c r="V58" s="21"/>
      <c r="W58" s="128" t="s">
        <v>391</v>
      </c>
      <c r="X58" s="546" t="s">
        <v>350</v>
      </c>
      <c r="Y58" s="547"/>
      <c r="Z58" s="547"/>
      <c r="AA58" s="547"/>
      <c r="AB58" s="547"/>
      <c r="AC58" s="547"/>
      <c r="AD58" s="548"/>
      <c r="AE58" s="541">
        <v>1.0345</v>
      </c>
      <c r="AF58" s="542"/>
      <c r="AG58" s="542"/>
      <c r="AH58" s="543"/>
      <c r="AI58" s="126" t="s">
        <v>236</v>
      </c>
      <c r="AJ58" s="126" t="s">
        <v>246</v>
      </c>
      <c r="AK58" s="544" t="s">
        <v>348</v>
      </c>
      <c r="AL58" s="545"/>
      <c r="AM58" s="88"/>
      <c r="AP58" s="130"/>
      <c r="AQ58" s="89"/>
    </row>
    <row r="59" spans="1:43" ht="13.15" customHeight="1" x14ac:dyDescent="0.2">
      <c r="A59" s="26" t="s">
        <v>278</v>
      </c>
      <c r="B59" s="60"/>
      <c r="C59" s="24" t="s">
        <v>210</v>
      </c>
      <c r="D59" s="25">
        <v>50</v>
      </c>
      <c r="E59" s="561" t="s">
        <v>507</v>
      </c>
      <c r="F59" s="595"/>
      <c r="G59" s="595"/>
      <c r="H59" s="595"/>
      <c r="I59" s="595"/>
      <c r="J59" s="596"/>
      <c r="K59" s="597" t="s">
        <v>450</v>
      </c>
      <c r="L59" s="598"/>
      <c r="M59" s="598"/>
      <c r="N59" s="599"/>
      <c r="O59" s="97" t="s">
        <v>341</v>
      </c>
      <c r="P59" s="97" t="s">
        <v>283</v>
      </c>
      <c r="Q59" s="565" t="s">
        <v>266</v>
      </c>
      <c r="R59" s="566"/>
      <c r="S59" s="90"/>
      <c r="T59" s="91"/>
      <c r="U59" s="92"/>
      <c r="V59" s="21"/>
      <c r="W59" s="128" t="s">
        <v>345</v>
      </c>
      <c r="X59" s="546" t="s">
        <v>431</v>
      </c>
      <c r="Y59" s="547"/>
      <c r="Z59" s="547"/>
      <c r="AA59" s="547"/>
      <c r="AB59" s="547"/>
      <c r="AC59" s="547"/>
      <c r="AD59" s="548"/>
      <c r="AE59" s="541" t="s">
        <v>408</v>
      </c>
      <c r="AF59" s="542"/>
      <c r="AG59" s="542"/>
      <c r="AH59" s="543"/>
      <c r="AI59" s="126" t="s">
        <v>236</v>
      </c>
      <c r="AJ59" s="126" t="s">
        <v>328</v>
      </c>
      <c r="AK59" s="544" t="s">
        <v>347</v>
      </c>
      <c r="AL59" s="545"/>
      <c r="AM59" s="88"/>
      <c r="AP59" s="130"/>
      <c r="AQ59" s="89"/>
    </row>
    <row r="60" spans="1:43" ht="13.15" customHeight="1" x14ac:dyDescent="0.2">
      <c r="A60" s="178" t="s">
        <v>279</v>
      </c>
      <c r="B60" s="374"/>
      <c r="C60" s="24">
        <v>80</v>
      </c>
      <c r="D60" s="23">
        <v>400</v>
      </c>
      <c r="E60" s="583" t="s">
        <v>508</v>
      </c>
      <c r="F60" s="600"/>
      <c r="G60" s="600"/>
      <c r="H60" s="600"/>
      <c r="I60" s="600"/>
      <c r="J60" s="601"/>
      <c r="K60" s="616" t="s">
        <v>450</v>
      </c>
      <c r="L60" s="617"/>
      <c r="M60" s="617"/>
      <c r="N60" s="618"/>
      <c r="O60" s="98" t="s">
        <v>387</v>
      </c>
      <c r="P60" s="98" t="s">
        <v>283</v>
      </c>
      <c r="Q60" s="585" t="s">
        <v>266</v>
      </c>
      <c r="R60" s="615"/>
      <c r="S60" s="88"/>
      <c r="U60" s="89"/>
      <c r="V60" s="21"/>
      <c r="W60" s="128" t="s">
        <v>346</v>
      </c>
      <c r="X60" s="546" t="s">
        <v>432</v>
      </c>
      <c r="Y60" s="547"/>
      <c r="Z60" s="547"/>
      <c r="AA60" s="547"/>
      <c r="AB60" s="547"/>
      <c r="AC60" s="547"/>
      <c r="AD60" s="548"/>
      <c r="AE60" s="541" t="s">
        <v>408</v>
      </c>
      <c r="AF60" s="542"/>
      <c r="AG60" s="542"/>
      <c r="AH60" s="543"/>
      <c r="AI60" s="126" t="s">
        <v>236</v>
      </c>
      <c r="AJ60" s="126" t="s">
        <v>328</v>
      </c>
      <c r="AK60" s="544" t="s">
        <v>347</v>
      </c>
      <c r="AL60" s="545"/>
      <c r="AM60" s="329" t="s">
        <v>631</v>
      </c>
      <c r="AP60" s="130"/>
      <c r="AQ60" s="89"/>
    </row>
    <row r="61" spans="1:43" ht="13.15" customHeight="1" x14ac:dyDescent="0.2">
      <c r="A61" s="178" t="s">
        <v>280</v>
      </c>
      <c r="B61" s="374"/>
      <c r="C61" s="24">
        <v>500</v>
      </c>
      <c r="D61" s="23" t="s">
        <v>277</v>
      </c>
      <c r="E61" s="619" t="s">
        <v>509</v>
      </c>
      <c r="F61" s="620"/>
      <c r="G61" s="620"/>
      <c r="H61" s="620"/>
      <c r="I61" s="620"/>
      <c r="J61" s="621"/>
      <c r="K61" s="567" t="s">
        <v>450</v>
      </c>
      <c r="L61" s="568"/>
      <c r="M61" s="568"/>
      <c r="N61" s="569"/>
      <c r="O61" s="156" t="s">
        <v>387</v>
      </c>
      <c r="P61" s="156" t="s">
        <v>283</v>
      </c>
      <c r="Q61" s="570" t="s">
        <v>266</v>
      </c>
      <c r="R61" s="571"/>
      <c r="S61" s="88"/>
      <c r="U61" s="89"/>
      <c r="V61" s="21"/>
      <c r="W61" s="128" t="s">
        <v>328</v>
      </c>
      <c r="X61" s="546" t="s">
        <v>395</v>
      </c>
      <c r="Y61" s="547"/>
      <c r="Z61" s="547"/>
      <c r="AA61" s="547"/>
      <c r="AB61" s="547"/>
      <c r="AC61" s="547"/>
      <c r="AD61" s="548"/>
      <c r="AE61" s="541" t="s">
        <v>417</v>
      </c>
      <c r="AF61" s="542"/>
      <c r="AG61" s="542"/>
      <c r="AH61" s="543"/>
      <c r="AI61" s="126" t="s">
        <v>236</v>
      </c>
      <c r="AJ61" s="126" t="s">
        <v>328</v>
      </c>
      <c r="AK61" s="544" t="s">
        <v>347</v>
      </c>
      <c r="AL61" s="545"/>
      <c r="AM61" s="329" t="s">
        <v>631</v>
      </c>
      <c r="AP61" s="130"/>
      <c r="AQ61" s="89"/>
    </row>
    <row r="62" spans="1:43" ht="13.15" customHeight="1" x14ac:dyDescent="0.2">
      <c r="A62" s="178" t="s">
        <v>281</v>
      </c>
      <c r="B62" s="374"/>
      <c r="C62" s="24"/>
      <c r="D62" s="23"/>
      <c r="E62" s="155"/>
      <c r="F62" s="80"/>
      <c r="G62" s="80"/>
      <c r="H62" s="80"/>
      <c r="I62" s="80"/>
      <c r="J62" s="80"/>
      <c r="K62" s="80"/>
      <c r="L62" s="80"/>
      <c r="M62" s="80"/>
      <c r="N62" s="80"/>
      <c r="O62" s="80"/>
      <c r="P62" s="80"/>
      <c r="Q62" s="80"/>
      <c r="R62" s="80"/>
      <c r="S62" s="88"/>
      <c r="U62" s="89"/>
      <c r="V62" s="21"/>
      <c r="W62" s="128"/>
      <c r="X62" s="260"/>
      <c r="Y62" s="160"/>
      <c r="Z62" s="160"/>
      <c r="AA62" s="160"/>
      <c r="AB62" s="160"/>
      <c r="AE62" s="541"/>
      <c r="AF62" s="542"/>
      <c r="AG62" s="542"/>
      <c r="AH62" s="543"/>
      <c r="AI62" s="126"/>
      <c r="AJ62" s="126"/>
      <c r="AK62" s="544"/>
      <c r="AL62" s="545"/>
      <c r="AM62" s="88"/>
      <c r="AP62" s="130"/>
      <c r="AQ62" s="89"/>
    </row>
    <row r="63" spans="1:43" ht="13.15" customHeight="1" x14ac:dyDescent="0.2">
      <c r="A63" s="178" t="s">
        <v>282</v>
      </c>
      <c r="B63" s="374"/>
      <c r="C63" s="23"/>
      <c r="D63" s="22"/>
      <c r="E63" s="155"/>
      <c r="F63" s="80"/>
      <c r="G63" s="80"/>
      <c r="H63" s="80"/>
      <c r="I63" s="80"/>
      <c r="J63" s="80"/>
      <c r="K63" s="80"/>
      <c r="L63" s="80"/>
      <c r="M63" s="80"/>
      <c r="N63" s="80"/>
      <c r="O63" s="80"/>
      <c r="P63" s="80"/>
      <c r="Q63" s="80"/>
      <c r="R63" s="80"/>
      <c r="S63" s="94"/>
      <c r="T63" s="95"/>
      <c r="U63" s="96"/>
      <c r="V63" s="21"/>
      <c r="W63" s="132"/>
      <c r="X63" s="94"/>
      <c r="Y63" s="95"/>
      <c r="Z63" s="95"/>
      <c r="AA63" s="95"/>
      <c r="AB63" s="95"/>
      <c r="AC63" s="95"/>
      <c r="AD63" s="133"/>
      <c r="AE63" s="134"/>
      <c r="AF63" s="95"/>
      <c r="AG63" s="95"/>
      <c r="AH63" s="133"/>
      <c r="AI63" s="135"/>
      <c r="AJ63" s="135"/>
      <c r="AK63" s="134"/>
      <c r="AL63" s="131"/>
      <c r="AM63" s="95"/>
      <c r="AN63" s="95"/>
      <c r="AO63" s="95"/>
      <c r="AP63" s="131"/>
      <c r="AQ63" s="89"/>
    </row>
    <row r="64" spans="1:43" ht="13.15" customHeight="1" x14ac:dyDescent="0.2">
      <c r="A64" s="741" t="s">
        <v>651</v>
      </c>
      <c r="B64" s="742"/>
      <c r="C64" s="689"/>
      <c r="D64" s="689"/>
      <c r="E64" s="689"/>
      <c r="F64" s="689"/>
      <c r="G64" s="689"/>
      <c r="H64" s="689"/>
      <c r="I64" s="689"/>
      <c r="J64" s="689"/>
      <c r="K64" s="689"/>
      <c r="L64" s="689"/>
      <c r="M64" s="689"/>
      <c r="N64" s="689"/>
      <c r="O64" s="689"/>
      <c r="P64" s="689"/>
      <c r="Q64" s="689"/>
      <c r="R64" s="743"/>
      <c r="S64" s="327" t="s">
        <v>479</v>
      </c>
      <c r="T64" s="91"/>
      <c r="U64" s="92"/>
      <c r="V64" s="21"/>
      <c r="AQ64" s="89"/>
    </row>
    <row r="65" spans="1:43" ht="13.15" customHeight="1" x14ac:dyDescent="0.2">
      <c r="A65" s="744"/>
      <c r="B65" s="692"/>
      <c r="C65" s="692"/>
      <c r="D65" s="692"/>
      <c r="E65" s="692"/>
      <c r="F65" s="692"/>
      <c r="G65" s="692"/>
      <c r="H65" s="692"/>
      <c r="I65" s="692"/>
      <c r="J65" s="692"/>
      <c r="K65" s="692"/>
      <c r="L65" s="692"/>
      <c r="M65" s="692"/>
      <c r="N65" s="692"/>
      <c r="O65" s="692"/>
      <c r="P65" s="692"/>
      <c r="Q65" s="692"/>
      <c r="R65" s="745"/>
      <c r="S65" s="93" t="s">
        <v>480</v>
      </c>
      <c r="U65" s="89"/>
      <c r="V65" s="21"/>
      <c r="AQ65" s="89"/>
    </row>
    <row r="66" spans="1:43" ht="13.15" customHeight="1" x14ac:dyDescent="0.2">
      <c r="A66" s="744"/>
      <c r="B66" s="692"/>
      <c r="C66" s="692"/>
      <c r="D66" s="692"/>
      <c r="E66" s="692"/>
      <c r="F66" s="692"/>
      <c r="G66" s="692"/>
      <c r="H66" s="692"/>
      <c r="I66" s="692"/>
      <c r="J66" s="692"/>
      <c r="K66" s="692"/>
      <c r="L66" s="692"/>
      <c r="M66" s="692"/>
      <c r="N66" s="692"/>
      <c r="O66" s="692"/>
      <c r="P66" s="692"/>
      <c r="Q66" s="692"/>
      <c r="R66" s="745"/>
      <c r="S66" s="93" t="s">
        <v>486</v>
      </c>
      <c r="U66" s="89"/>
      <c r="V66" s="21"/>
      <c r="AQ66" s="89"/>
    </row>
    <row r="67" spans="1:43" ht="13.15" customHeight="1" x14ac:dyDescent="0.2">
      <c r="A67" s="744"/>
      <c r="B67" s="692"/>
      <c r="C67" s="692"/>
      <c r="D67" s="692"/>
      <c r="E67" s="692"/>
      <c r="F67" s="692"/>
      <c r="G67" s="692"/>
      <c r="H67" s="692"/>
      <c r="I67" s="692"/>
      <c r="J67" s="692"/>
      <c r="K67" s="692"/>
      <c r="L67" s="692"/>
      <c r="M67" s="692"/>
      <c r="N67" s="692"/>
      <c r="O67" s="692"/>
      <c r="P67" s="692"/>
      <c r="Q67" s="692"/>
      <c r="R67" s="745"/>
      <c r="S67" s="93" t="s">
        <v>487</v>
      </c>
      <c r="U67" s="89"/>
      <c r="V67" s="21"/>
      <c r="AQ67" s="89"/>
    </row>
    <row r="68" spans="1:43" ht="13.15" customHeight="1" x14ac:dyDescent="0.2">
      <c r="A68" s="744"/>
      <c r="B68" s="692"/>
      <c r="C68" s="692"/>
      <c r="D68" s="692"/>
      <c r="E68" s="692"/>
      <c r="F68" s="692"/>
      <c r="G68" s="692"/>
      <c r="H68" s="692"/>
      <c r="I68" s="692"/>
      <c r="J68" s="692"/>
      <c r="K68" s="692"/>
      <c r="L68" s="692"/>
      <c r="M68" s="692"/>
      <c r="N68" s="692"/>
      <c r="O68" s="692"/>
      <c r="P68" s="692"/>
      <c r="Q68" s="692"/>
      <c r="R68" s="745"/>
      <c r="S68" s="93" t="s">
        <v>488</v>
      </c>
      <c r="U68" s="89"/>
      <c r="V68" s="21"/>
      <c r="AQ68" s="89"/>
    </row>
    <row r="69" spans="1:43" ht="13.15" customHeight="1" x14ac:dyDescent="0.2">
      <c r="A69" s="744"/>
      <c r="B69" s="692"/>
      <c r="C69" s="692"/>
      <c r="D69" s="692"/>
      <c r="E69" s="692"/>
      <c r="F69" s="692"/>
      <c r="G69" s="692"/>
      <c r="H69" s="692"/>
      <c r="I69" s="692"/>
      <c r="J69" s="692"/>
      <c r="K69" s="692"/>
      <c r="L69" s="692"/>
      <c r="M69" s="692"/>
      <c r="N69" s="692"/>
      <c r="O69" s="692"/>
      <c r="P69" s="692"/>
      <c r="Q69" s="692"/>
      <c r="R69" s="745"/>
      <c r="S69" s="60" t="s">
        <v>499</v>
      </c>
      <c r="U69" s="89"/>
      <c r="V69" s="21"/>
      <c r="AQ69" s="89"/>
    </row>
    <row r="70" spans="1:43" ht="13.15" customHeight="1" x14ac:dyDescent="0.2">
      <c r="A70" s="622" t="s">
        <v>535</v>
      </c>
      <c r="B70" s="623"/>
      <c r="C70" s="623"/>
      <c r="D70" s="623"/>
      <c r="E70" s="623"/>
      <c r="F70" s="623"/>
      <c r="G70" s="623"/>
      <c r="H70" s="623"/>
      <c r="I70" s="623"/>
      <c r="J70" s="623"/>
      <c r="K70" s="623"/>
      <c r="L70" s="623"/>
      <c r="M70" s="623"/>
      <c r="N70" s="623"/>
      <c r="O70" s="623"/>
      <c r="P70" s="623"/>
      <c r="Q70" s="623"/>
      <c r="R70" s="623"/>
      <c r="S70" s="93" t="s">
        <v>498</v>
      </c>
      <c r="U70" s="89"/>
      <c r="V70" s="21"/>
      <c r="AQ70" s="89"/>
    </row>
    <row r="71" spans="1:43" ht="13.15" customHeight="1" x14ac:dyDescent="0.2">
      <c r="A71" s="19" t="s">
        <v>260</v>
      </c>
      <c r="B71" s="435"/>
      <c r="C71" s="583" t="s">
        <v>269</v>
      </c>
      <c r="D71" s="602"/>
      <c r="E71" s="602"/>
      <c r="F71" s="602"/>
      <c r="G71" s="602"/>
      <c r="H71" s="602"/>
      <c r="I71" s="602"/>
      <c r="J71" s="602"/>
      <c r="K71" s="602"/>
      <c r="L71" s="602"/>
      <c r="M71" s="602"/>
      <c r="N71" s="602"/>
      <c r="O71" s="602"/>
      <c r="P71" s="602"/>
      <c r="Q71" s="602"/>
      <c r="R71" s="602"/>
      <c r="S71" s="93" t="s">
        <v>489</v>
      </c>
      <c r="U71" s="89"/>
      <c r="V71" s="21"/>
      <c r="AQ71" s="89"/>
    </row>
    <row r="72" spans="1:43" ht="13.15" customHeight="1" x14ac:dyDescent="0.2">
      <c r="A72" s="375" t="s">
        <v>478</v>
      </c>
      <c r="B72" s="463"/>
      <c r="C72" s="587" t="s">
        <v>269</v>
      </c>
      <c r="D72" s="609"/>
      <c r="E72" s="609"/>
      <c r="F72" s="609"/>
      <c r="G72" s="609"/>
      <c r="H72" s="609"/>
      <c r="I72" s="609"/>
      <c r="J72" s="609"/>
      <c r="K72" s="609"/>
      <c r="L72" s="609"/>
      <c r="M72" s="609"/>
      <c r="N72" s="609"/>
      <c r="O72" s="609"/>
      <c r="P72" s="609"/>
      <c r="Q72" s="609"/>
      <c r="R72" s="609"/>
      <c r="S72" s="93" t="s">
        <v>490</v>
      </c>
      <c r="U72" s="89"/>
      <c r="V72" s="21"/>
      <c r="AQ72" s="89"/>
    </row>
    <row r="73" spans="1:43" ht="13.15" customHeight="1" x14ac:dyDescent="0.2">
      <c r="A73" s="19" t="s">
        <v>372</v>
      </c>
      <c r="B73" s="60"/>
      <c r="C73" s="583" t="s">
        <v>320</v>
      </c>
      <c r="D73" s="600"/>
      <c r="E73" s="600"/>
      <c r="F73" s="600"/>
      <c r="G73" s="600"/>
      <c r="H73" s="600"/>
      <c r="I73" s="600"/>
      <c r="J73" s="600"/>
      <c r="K73" s="600"/>
      <c r="L73" s="600"/>
      <c r="M73" s="600"/>
      <c r="N73" s="600"/>
      <c r="O73" s="600"/>
      <c r="P73" s="600"/>
      <c r="Q73" s="600"/>
      <c r="R73" s="600"/>
      <c r="S73" s="93" t="s">
        <v>491</v>
      </c>
      <c r="U73" s="89"/>
      <c r="V73" s="21"/>
      <c r="AQ73" s="89"/>
    </row>
    <row r="74" spans="1:43" ht="13.15" customHeight="1" x14ac:dyDescent="0.2">
      <c r="A74" s="19" t="s">
        <v>373</v>
      </c>
      <c r="B74" s="60"/>
      <c r="C74" s="610" t="s">
        <v>626</v>
      </c>
      <c r="D74" s="611"/>
      <c r="E74" s="611"/>
      <c r="F74" s="611"/>
      <c r="G74" s="611"/>
      <c r="H74" s="611"/>
      <c r="I74" s="611"/>
      <c r="J74" s="611"/>
      <c r="K74" s="611"/>
      <c r="L74" s="611"/>
      <c r="M74" s="611"/>
      <c r="N74" s="611"/>
      <c r="O74" s="611"/>
      <c r="P74" s="611"/>
      <c r="Q74" s="611"/>
      <c r="R74" s="612"/>
      <c r="S74" s="93" t="s">
        <v>492</v>
      </c>
      <c r="U74" s="89"/>
      <c r="V74" s="21"/>
      <c r="AQ74" s="89"/>
    </row>
    <row r="75" spans="1:43" ht="13.15" customHeight="1" x14ac:dyDescent="0.2">
      <c r="A75" s="19" t="s">
        <v>261</v>
      </c>
      <c r="B75" s="60"/>
      <c r="C75" s="610" t="s">
        <v>321</v>
      </c>
      <c r="D75" s="613"/>
      <c r="E75" s="613"/>
      <c r="F75" s="613"/>
      <c r="G75" s="613"/>
      <c r="H75" s="613"/>
      <c r="I75" s="613"/>
      <c r="J75" s="613"/>
      <c r="K75" s="613"/>
      <c r="L75" s="613"/>
      <c r="M75" s="613"/>
      <c r="N75" s="613"/>
      <c r="O75" s="613"/>
      <c r="P75" s="613"/>
      <c r="Q75" s="613"/>
      <c r="R75" s="614"/>
      <c r="S75" s="93" t="s">
        <v>493</v>
      </c>
      <c r="U75" s="89"/>
      <c r="V75" s="21"/>
      <c r="AQ75" s="89"/>
    </row>
    <row r="76" spans="1:43" ht="13.15" customHeight="1" x14ac:dyDescent="0.2">
      <c r="A76" s="19" t="s">
        <v>262</v>
      </c>
      <c r="B76" s="60"/>
      <c r="C76" s="583" t="s">
        <v>324</v>
      </c>
      <c r="D76" s="600"/>
      <c r="E76" s="600"/>
      <c r="F76" s="600"/>
      <c r="G76" s="600"/>
      <c r="H76" s="600"/>
      <c r="I76" s="600"/>
      <c r="J76" s="600"/>
      <c r="K76" s="600"/>
      <c r="L76" s="600"/>
      <c r="M76" s="600"/>
      <c r="N76" s="600"/>
      <c r="O76" s="600"/>
      <c r="P76" s="600"/>
      <c r="Q76" s="600"/>
      <c r="R76" s="600"/>
      <c r="S76" s="88"/>
      <c r="U76" s="89"/>
      <c r="V76" s="21"/>
      <c r="AQ76" s="89"/>
    </row>
    <row r="77" spans="1:43" ht="13.15" customHeight="1" x14ac:dyDescent="0.2">
      <c r="A77" s="19"/>
      <c r="B77" s="60"/>
      <c r="C77" s="583" t="s">
        <v>228</v>
      </c>
      <c r="D77" s="600"/>
      <c r="E77" s="600"/>
      <c r="F77" s="600"/>
      <c r="G77" s="600"/>
      <c r="H77" s="600"/>
      <c r="I77" s="600"/>
      <c r="J77" s="600"/>
      <c r="K77" s="600"/>
      <c r="L77" s="600"/>
      <c r="M77" s="600"/>
      <c r="N77" s="600"/>
      <c r="O77" s="600"/>
      <c r="P77" s="600"/>
      <c r="Q77" s="600"/>
      <c r="R77" s="600"/>
      <c r="S77" s="88"/>
      <c r="U77" s="89"/>
      <c r="V77" s="21"/>
      <c r="AQ77" s="89"/>
    </row>
    <row r="78" spans="1:43" ht="13.15" customHeight="1" thickBot="1" x14ac:dyDescent="0.25">
      <c r="A78" s="19"/>
      <c r="B78" s="60"/>
      <c r="C78" s="583" t="s">
        <v>270</v>
      </c>
      <c r="D78" s="602"/>
      <c r="E78" s="602"/>
      <c r="F78" s="602"/>
      <c r="G78" s="602"/>
      <c r="H78" s="602"/>
      <c r="I78" s="602"/>
      <c r="J78" s="602"/>
      <c r="K78" s="602"/>
      <c r="L78" s="602"/>
      <c r="M78" s="602"/>
      <c r="N78" s="602"/>
      <c r="O78" s="602"/>
      <c r="P78" s="602"/>
      <c r="Q78" s="602"/>
      <c r="R78" s="602"/>
      <c r="S78" s="326"/>
      <c r="T78" s="143"/>
      <c r="U78" s="144"/>
      <c r="V78" s="21"/>
      <c r="W78" s="143"/>
      <c r="X78" s="143"/>
      <c r="Y78" s="143"/>
      <c r="Z78" s="143"/>
      <c r="AA78" s="143"/>
      <c r="AB78" s="143"/>
      <c r="AC78" s="143"/>
      <c r="AD78" s="143"/>
      <c r="AE78" s="143"/>
      <c r="AF78" s="143"/>
      <c r="AG78" s="143"/>
      <c r="AH78" s="143"/>
      <c r="AI78" s="143"/>
      <c r="AJ78" s="143"/>
      <c r="AK78" s="143"/>
      <c r="AL78" s="143"/>
      <c r="AM78" s="143"/>
      <c r="AN78" s="143"/>
      <c r="AO78" s="143"/>
      <c r="AP78" s="143"/>
      <c r="AQ78" s="89"/>
    </row>
    <row r="79" spans="1:43" ht="13.15" customHeight="1" x14ac:dyDescent="0.2">
      <c r="A79" s="162" t="s">
        <v>209</v>
      </c>
      <c r="B79" s="464"/>
      <c r="C79" s="18" t="s">
        <v>208</v>
      </c>
      <c r="D79" s="16"/>
      <c r="E79" s="18" t="s">
        <v>207</v>
      </c>
      <c r="F79" s="18"/>
      <c r="G79" s="18" t="s">
        <v>206</v>
      </c>
      <c r="H79" s="17" t="e">
        <f>#REF!</f>
        <v>#REF!</v>
      </c>
      <c r="I79" s="16"/>
      <c r="J79" s="16"/>
      <c r="K79" s="16"/>
      <c r="L79" s="16"/>
      <c r="M79" s="16"/>
      <c r="N79" s="16"/>
      <c r="O79" s="16"/>
      <c r="P79" s="16"/>
      <c r="Q79" s="16"/>
      <c r="R79" s="16"/>
      <c r="S79" s="103"/>
      <c r="T79" s="103"/>
      <c r="U79" s="145"/>
      <c r="V79" s="162" t="s">
        <v>209</v>
      </c>
      <c r="W79" s="16"/>
      <c r="X79" s="163"/>
      <c r="Y79" s="18" t="s">
        <v>208</v>
      </c>
      <c r="Z79" s="16"/>
      <c r="AA79" s="18" t="s">
        <v>207</v>
      </c>
      <c r="AB79" s="18"/>
      <c r="AC79" s="18" t="s">
        <v>206</v>
      </c>
      <c r="AD79" s="17" t="e">
        <f>H79</f>
        <v>#REF!</v>
      </c>
      <c r="AE79" s="16"/>
      <c r="AF79" s="16"/>
      <c r="AG79" s="16"/>
      <c r="AH79" s="16"/>
      <c r="AI79" s="16"/>
      <c r="AJ79" s="16"/>
      <c r="AK79" s="16"/>
      <c r="AL79" s="16"/>
      <c r="AM79" s="16"/>
      <c r="AN79" s="103"/>
      <c r="AO79" s="103"/>
      <c r="AP79" s="103"/>
      <c r="AQ79" s="145"/>
    </row>
    <row r="80" spans="1:43" ht="13.15" customHeight="1" thickBot="1" x14ac:dyDescent="0.25">
      <c r="A80" s="159" t="e">
        <f>#REF!</f>
        <v>#REF!</v>
      </c>
      <c r="B80" s="175"/>
      <c r="C80" s="603" t="e">
        <f>#REF!</f>
        <v>#REF!</v>
      </c>
      <c r="D80" s="604"/>
      <c r="E80" s="605" t="e">
        <f>#REF!</f>
        <v>#REF!</v>
      </c>
      <c r="F80" s="606"/>
      <c r="G80" s="15"/>
      <c r="H80" s="14"/>
      <c r="I80" s="14"/>
      <c r="J80" s="14"/>
      <c r="K80" s="14"/>
      <c r="L80" s="14"/>
      <c r="M80" s="14"/>
      <c r="N80" s="14"/>
      <c r="O80" s="14"/>
      <c r="P80" s="14"/>
      <c r="Q80" s="14"/>
      <c r="R80" s="14"/>
      <c r="S80" s="143"/>
      <c r="T80" s="143"/>
      <c r="U80" s="144"/>
      <c r="V80" s="121"/>
      <c r="W80" s="14" t="e">
        <f>A80</f>
        <v>#REF!</v>
      </c>
      <c r="X80" s="164"/>
      <c r="Y80" s="603" t="e">
        <f>C80</f>
        <v>#REF!</v>
      </c>
      <c r="Z80" s="607"/>
      <c r="AA80" s="605" t="e">
        <f>E80</f>
        <v>#REF!</v>
      </c>
      <c r="AB80" s="608"/>
      <c r="AC80" s="15"/>
      <c r="AD80" s="14"/>
      <c r="AE80" s="14"/>
      <c r="AF80" s="14"/>
      <c r="AG80" s="14"/>
      <c r="AH80" s="14"/>
      <c r="AI80" s="14"/>
      <c r="AJ80" s="14"/>
      <c r="AK80" s="14"/>
      <c r="AL80" s="14"/>
      <c r="AM80" s="14"/>
      <c r="AN80" s="143"/>
      <c r="AO80" s="143"/>
      <c r="AP80" s="143"/>
      <c r="AQ80" s="144"/>
    </row>
  </sheetData>
  <mergeCells count="165">
    <mergeCell ref="AM55:AP56"/>
    <mergeCell ref="Q57:R57"/>
    <mergeCell ref="K57:L57"/>
    <mergeCell ref="X57:AD57"/>
    <mergeCell ref="AE57:AH57"/>
    <mergeCell ref="AK57:AL57"/>
    <mergeCell ref="W55:W56"/>
    <mergeCell ref="X55:AD56"/>
    <mergeCell ref="AE55:AH56"/>
    <mergeCell ref="AI55:AI56"/>
    <mergeCell ref="AJ55:AJ56"/>
    <mergeCell ref="AK55:AL56"/>
    <mergeCell ref="AB7:AH7"/>
    <mergeCell ref="K25:N25"/>
    <mergeCell ref="V16:Y16"/>
    <mergeCell ref="E60:J60"/>
    <mergeCell ref="Q60:R60"/>
    <mergeCell ref="Q21:R21"/>
    <mergeCell ref="F7:L7"/>
    <mergeCell ref="V8:Y8"/>
    <mergeCell ref="V9:Y9"/>
    <mergeCell ref="V10:Y10"/>
    <mergeCell ref="V12:Y12"/>
    <mergeCell ref="V13:Y13"/>
    <mergeCell ref="V14:Y14"/>
    <mergeCell ref="V15:Y15"/>
    <mergeCell ref="E59:J59"/>
    <mergeCell ref="K59:N59"/>
    <mergeCell ref="E38:J38"/>
    <mergeCell ref="K38:N38"/>
    <mergeCell ref="Q24:R24"/>
    <mergeCell ref="Q51:R51"/>
    <mergeCell ref="Q48:R48"/>
    <mergeCell ref="C11:U11"/>
    <mergeCell ref="Q25:R25"/>
    <mergeCell ref="S29:S38"/>
    <mergeCell ref="C75:R75"/>
    <mergeCell ref="C76:R76"/>
    <mergeCell ref="C77:R77"/>
    <mergeCell ref="C78:R78"/>
    <mergeCell ref="C80:D80"/>
    <mergeCell ref="E80:F80"/>
    <mergeCell ref="C71:R71"/>
    <mergeCell ref="C72:R72"/>
    <mergeCell ref="C73:R73"/>
    <mergeCell ref="C74:R74"/>
    <mergeCell ref="A70:R70"/>
    <mergeCell ref="K36:N36"/>
    <mergeCell ref="Q36:R36"/>
    <mergeCell ref="E27:J27"/>
    <mergeCell ref="E25:J25"/>
    <mergeCell ref="E33:J33"/>
    <mergeCell ref="K33:N33"/>
    <mergeCell ref="Q33:R33"/>
    <mergeCell ref="K30:N30"/>
    <mergeCell ref="Q30:R30"/>
    <mergeCell ref="E31:J31"/>
    <mergeCell ref="K31:N31"/>
    <mergeCell ref="Q31:R31"/>
    <mergeCell ref="E36:J36"/>
    <mergeCell ref="Q39:R39"/>
    <mergeCell ref="K39:N39"/>
    <mergeCell ref="E39:J39"/>
    <mergeCell ref="K26:N26"/>
    <mergeCell ref="E34:J34"/>
    <mergeCell ref="Q61:R61"/>
    <mergeCell ref="Q59:R59"/>
    <mergeCell ref="E30:J30"/>
    <mergeCell ref="Q38:R38"/>
    <mergeCell ref="K34:N34"/>
    <mergeCell ref="S39:U40"/>
    <mergeCell ref="E45:J45"/>
    <mergeCell ref="E48:J48"/>
    <mergeCell ref="Q46:R46"/>
    <mergeCell ref="K48:N48"/>
    <mergeCell ref="A64:R69"/>
    <mergeCell ref="K60:N60"/>
    <mergeCell ref="Q34:R34"/>
    <mergeCell ref="E37:J37"/>
    <mergeCell ref="K37:N37"/>
    <mergeCell ref="Q37:R37"/>
    <mergeCell ref="E35:J35"/>
    <mergeCell ref="K35:N35"/>
    <mergeCell ref="Q35:R35"/>
    <mergeCell ref="E58:J58"/>
    <mergeCell ref="K58:N58"/>
    <mergeCell ref="Q58:R58"/>
    <mergeCell ref="E49:J49"/>
    <mergeCell ref="K49:N49"/>
    <mergeCell ref="Q49:R49"/>
    <mergeCell ref="Q56:R56"/>
    <mergeCell ref="E51:J51"/>
    <mergeCell ref="K51:N51"/>
    <mergeCell ref="C7:D7"/>
    <mergeCell ref="Y7:Z7"/>
    <mergeCell ref="Y80:Z80"/>
    <mergeCell ref="AA80:AB80"/>
    <mergeCell ref="S17:U18"/>
    <mergeCell ref="C17:D17"/>
    <mergeCell ref="E26:J26"/>
    <mergeCell ref="Q26:R26"/>
    <mergeCell ref="K27:N27"/>
    <mergeCell ref="Q27:R27"/>
    <mergeCell ref="E21:J21"/>
    <mergeCell ref="K21:N21"/>
    <mergeCell ref="Q55:R55"/>
    <mergeCell ref="X61:AD61"/>
    <mergeCell ref="X60:AD60"/>
    <mergeCell ref="E61:J61"/>
    <mergeCell ref="K61:N61"/>
    <mergeCell ref="E19:J19"/>
    <mergeCell ref="K19:N19"/>
    <mergeCell ref="Q19:R19"/>
    <mergeCell ref="E20:J20"/>
    <mergeCell ref="K20:N20"/>
    <mergeCell ref="E46:J46"/>
    <mergeCell ref="K46:N46"/>
    <mergeCell ref="N6:O6"/>
    <mergeCell ref="AJ6:AK6"/>
    <mergeCell ref="AE61:AH61"/>
    <mergeCell ref="AK61:AL61"/>
    <mergeCell ref="E53:J53"/>
    <mergeCell ref="K53:N53"/>
    <mergeCell ref="Q53:R53"/>
    <mergeCell ref="AE62:AH62"/>
    <mergeCell ref="AK62:AL62"/>
    <mergeCell ref="AE60:AH60"/>
    <mergeCell ref="AK60:AL60"/>
    <mergeCell ref="X59:AD59"/>
    <mergeCell ref="AE59:AH59"/>
    <mergeCell ref="AK59:AL59"/>
    <mergeCell ref="AE58:AH58"/>
    <mergeCell ref="AK58:AL58"/>
    <mergeCell ref="E55:J55"/>
    <mergeCell ref="X58:AD58"/>
    <mergeCell ref="Q20:R20"/>
    <mergeCell ref="E56:J56"/>
    <mergeCell ref="K55:L55"/>
    <mergeCell ref="K56:L56"/>
    <mergeCell ref="M55:N55"/>
    <mergeCell ref="M56:N56"/>
    <mergeCell ref="X42:AP42"/>
    <mergeCell ref="V19:V40"/>
    <mergeCell ref="X18:AP18"/>
    <mergeCell ref="V45:V48"/>
    <mergeCell ref="X49:Z49"/>
    <mergeCell ref="E47:J47"/>
    <mergeCell ref="K47:N47"/>
    <mergeCell ref="Q47:R47"/>
    <mergeCell ref="S47:T47"/>
    <mergeCell ref="E17:J18"/>
    <mergeCell ref="K17:N18"/>
    <mergeCell ref="O17:O18"/>
    <mergeCell ref="P17:P18"/>
    <mergeCell ref="Q17:R18"/>
    <mergeCell ref="K45:N45"/>
    <mergeCell ref="K42:N42"/>
    <mergeCell ref="K29:N29"/>
    <mergeCell ref="K24:N24"/>
    <mergeCell ref="E24:J24"/>
    <mergeCell ref="E29:J29"/>
    <mergeCell ref="E42:J42"/>
    <mergeCell ref="Q29:R29"/>
    <mergeCell ref="Q45:R45"/>
    <mergeCell ref="Q42:R42"/>
  </mergeCells>
  <pageMargins left="0.70866141732283472" right="0.15748031496062992" top="0.51181102362204722" bottom="0.43307086614173229" header="0.27559055118110237" footer="0.27559055118110237"/>
  <pageSetup paperSize="9" scale="75" pageOrder="overThenDown" orientation="portrait" r:id="rId1"/>
  <headerFooter alignWithMargins="0">
    <oddHeader>&amp;LPIRS Vorlagen-Projekt&amp;C&amp;8Project: Template&amp;R&amp;G</oddHeader>
    <oddFooter xml:space="preserve">&amp;L&amp;8 &amp;F _&amp;A&amp;R&amp;8Page &amp;P+8 of [&amp;N+8] </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D7D0-1033-4C34-9C16-9A8961A8901B}">
  <sheetPr codeName="Tabelle27"/>
  <dimension ref="A1:AQ80"/>
  <sheetViews>
    <sheetView showWhiteSpace="0" view="pageLayout" topLeftCell="A32" zoomScaleNormal="100" workbookViewId="0">
      <selection activeCell="K58" sqref="K58:N58"/>
    </sheetView>
  </sheetViews>
  <sheetFormatPr defaultColWidth="0" defaultRowHeight="12.75" x14ac:dyDescent="0.2"/>
  <cols>
    <col min="1" max="1" width="14.28515625" style="13" customWidth="1"/>
    <col min="2" max="2" width="3.5703125" style="13" customWidth="1"/>
    <col min="3" max="21" width="5.7109375" style="13" customWidth="1"/>
    <col min="22" max="22" width="4.140625" style="13" customWidth="1"/>
    <col min="23" max="23" width="6.140625" style="13" customWidth="1"/>
    <col min="24" max="42" width="5.7109375" style="13" customWidth="1"/>
    <col min="43" max="59" width="6.140625" style="13" customWidth="1"/>
    <col min="60" max="16384" width="0" style="13" hidden="1"/>
  </cols>
  <sheetData>
    <row r="1" spans="1:43" ht="13.15" customHeight="1" x14ac:dyDescent="0.2">
      <c r="A1" s="73"/>
      <c r="B1" s="72"/>
      <c r="C1" s="72"/>
      <c r="D1" s="71"/>
      <c r="E1" s="16"/>
      <c r="F1" s="16"/>
      <c r="G1" s="16"/>
      <c r="H1" s="16"/>
      <c r="I1" s="16"/>
      <c r="J1" s="16"/>
      <c r="K1" s="114" t="s">
        <v>253</v>
      </c>
      <c r="L1" s="116"/>
      <c r="M1" s="70"/>
      <c r="N1" s="16"/>
      <c r="O1" s="16"/>
      <c r="P1" s="16" t="s">
        <v>736</v>
      </c>
      <c r="Q1" s="69"/>
      <c r="R1" s="68" t="s">
        <v>230</v>
      </c>
      <c r="S1" s="68"/>
      <c r="T1" s="67" t="s">
        <v>343</v>
      </c>
      <c r="U1" s="66"/>
      <c r="V1" s="162"/>
      <c r="W1" s="16"/>
      <c r="X1" s="72"/>
      <c r="Y1" s="72"/>
      <c r="Z1" s="71"/>
      <c r="AA1" s="16"/>
      <c r="AB1" s="16"/>
      <c r="AC1" s="16"/>
      <c r="AD1" s="16"/>
      <c r="AE1" s="16"/>
      <c r="AF1" s="231"/>
      <c r="AG1" s="230" t="s">
        <v>253</v>
      </c>
      <c r="AH1" s="116"/>
      <c r="AI1" s="70"/>
      <c r="AJ1" s="16"/>
      <c r="AK1" s="16"/>
      <c r="AL1" s="16" t="str">
        <f>P1</f>
        <v>PT13</v>
      </c>
      <c r="AM1" s="69"/>
      <c r="AN1" s="68" t="s">
        <v>230</v>
      </c>
      <c r="AO1" s="68"/>
      <c r="AP1" s="67" t="str">
        <f>T1</f>
        <v>3E0 (1.0345)</v>
      </c>
      <c r="AQ1" s="66"/>
    </row>
    <row r="2" spans="1:43" ht="13.15" customHeight="1" x14ac:dyDescent="0.2">
      <c r="A2" s="63" t="s">
        <v>276</v>
      </c>
      <c r="B2" s="61"/>
      <c r="C2" s="62" t="s">
        <v>265</v>
      </c>
      <c r="D2" s="61"/>
      <c r="E2" s="60"/>
      <c r="F2" s="60"/>
      <c r="G2" s="60"/>
      <c r="H2" s="60"/>
      <c r="I2" s="60"/>
      <c r="J2" s="59"/>
      <c r="K2" s="100" t="s">
        <v>232</v>
      </c>
      <c r="L2" s="74"/>
      <c r="M2" s="81"/>
      <c r="N2" s="65"/>
      <c r="O2" s="65"/>
      <c r="P2" s="523">
        <v>26.7</v>
      </c>
      <c r="Q2" s="58" t="s">
        <v>231</v>
      </c>
      <c r="R2" s="65" t="s">
        <v>252</v>
      </c>
      <c r="S2" s="65"/>
      <c r="T2" s="81" t="s">
        <v>385</v>
      </c>
      <c r="U2" s="64"/>
      <c r="V2" s="19" t="s">
        <v>276</v>
      </c>
      <c r="W2" s="60"/>
      <c r="X2" s="61"/>
      <c r="Y2" s="62" t="str">
        <f>C2</f>
        <v>Condensate &amp; Steam (T &lt; 400°C)</v>
      </c>
      <c r="Z2" s="61"/>
      <c r="AA2" s="60"/>
      <c r="AB2" s="60"/>
      <c r="AC2" s="60"/>
      <c r="AD2" s="60"/>
      <c r="AE2" s="60"/>
      <c r="AF2" s="130"/>
      <c r="AG2" s="81" t="s">
        <v>232</v>
      </c>
      <c r="AH2" s="74"/>
      <c r="AI2" s="81"/>
      <c r="AJ2" s="65"/>
      <c r="AK2" s="65"/>
      <c r="AL2" s="523">
        <f>P2</f>
        <v>26.7</v>
      </c>
      <c r="AM2" s="58" t="s">
        <v>231</v>
      </c>
      <c r="AN2" s="65" t="s">
        <v>252</v>
      </c>
      <c r="AO2" s="65"/>
      <c r="AP2" s="81" t="str">
        <f>T2</f>
        <v>EN PN40</v>
      </c>
      <c r="AQ2" s="64"/>
    </row>
    <row r="3" spans="1:43" ht="13.15" customHeight="1" x14ac:dyDescent="0.2">
      <c r="A3" s="63"/>
      <c r="B3" s="61"/>
      <c r="C3" s="62"/>
      <c r="D3" s="61"/>
      <c r="E3" s="60"/>
      <c r="F3" s="60"/>
      <c r="G3" s="60"/>
      <c r="H3" s="60"/>
      <c r="I3" s="60"/>
      <c r="J3" s="59"/>
      <c r="K3" s="100" t="s">
        <v>233</v>
      </c>
      <c r="L3" s="75"/>
      <c r="M3" s="101"/>
      <c r="N3" s="65"/>
      <c r="O3" s="65"/>
      <c r="P3" s="523">
        <v>350</v>
      </c>
      <c r="Q3" s="58" t="s">
        <v>223</v>
      </c>
      <c r="R3" s="76" t="s">
        <v>229</v>
      </c>
      <c r="S3" s="77"/>
      <c r="T3" s="81" t="s">
        <v>227</v>
      </c>
      <c r="U3" s="57"/>
      <c r="V3" s="51"/>
      <c r="W3" s="80"/>
      <c r="X3" s="61"/>
      <c r="Y3" s="62"/>
      <c r="Z3" s="61"/>
      <c r="AA3" s="60"/>
      <c r="AB3" s="60"/>
      <c r="AC3" s="60"/>
      <c r="AD3" s="60"/>
      <c r="AE3" s="60"/>
      <c r="AF3" s="130"/>
      <c r="AG3" s="81" t="s">
        <v>233</v>
      </c>
      <c r="AH3" s="75"/>
      <c r="AI3" s="101"/>
      <c r="AJ3" s="65"/>
      <c r="AK3" s="65"/>
      <c r="AL3" s="523">
        <f>P3</f>
        <v>350</v>
      </c>
      <c r="AM3" s="58" t="s">
        <v>223</v>
      </c>
      <c r="AN3" s="76" t="s">
        <v>229</v>
      </c>
      <c r="AO3" s="77"/>
      <c r="AP3" s="81" t="str">
        <f>T3</f>
        <v>seamless</v>
      </c>
      <c r="AQ3" s="57"/>
    </row>
    <row r="4" spans="1:43" ht="13.15" customHeight="1" thickBot="1" x14ac:dyDescent="0.25">
      <c r="A4" s="56"/>
      <c r="B4" s="55"/>
      <c r="C4" s="55"/>
      <c r="D4" s="54"/>
      <c r="E4" s="53"/>
      <c r="F4" s="53"/>
      <c r="G4" s="53"/>
      <c r="H4" s="14"/>
      <c r="I4" s="14"/>
      <c r="J4" s="52"/>
      <c r="K4" s="60" t="s">
        <v>226</v>
      </c>
      <c r="L4" s="81"/>
      <c r="M4" s="102"/>
      <c r="N4" s="60"/>
      <c r="O4" s="60"/>
      <c r="P4" s="524">
        <v>60.3</v>
      </c>
      <c r="Q4" s="58" t="s">
        <v>235</v>
      </c>
      <c r="R4" s="82" t="s">
        <v>234</v>
      </c>
      <c r="S4" s="83"/>
      <c r="T4" s="113" t="s">
        <v>544</v>
      </c>
      <c r="U4" s="79"/>
      <c r="V4" s="119"/>
      <c r="W4" s="166"/>
      <c r="X4" s="55"/>
      <c r="Y4" s="55"/>
      <c r="Z4" s="54"/>
      <c r="AA4" s="53"/>
      <c r="AB4" s="53"/>
      <c r="AC4" s="53"/>
      <c r="AD4" s="14"/>
      <c r="AE4" s="14"/>
      <c r="AF4" s="232"/>
      <c r="AG4" s="60" t="s">
        <v>226</v>
      </c>
      <c r="AH4" s="81"/>
      <c r="AI4" s="102"/>
      <c r="AJ4" s="60"/>
      <c r="AK4" s="60"/>
      <c r="AL4" s="525">
        <f>P4</f>
        <v>60.3</v>
      </c>
      <c r="AM4" s="58" t="s">
        <v>235</v>
      </c>
      <c r="AN4" s="82" t="s">
        <v>234</v>
      </c>
      <c r="AO4" s="83"/>
      <c r="AP4" s="113" t="str">
        <f>T4</f>
        <v>ECFB</v>
      </c>
      <c r="AQ4" s="79"/>
    </row>
    <row r="5" spans="1:43" ht="13.15" customHeight="1" x14ac:dyDescent="0.2">
      <c r="A5" s="51" t="s">
        <v>225</v>
      </c>
      <c r="B5" s="80"/>
      <c r="C5" s="50" t="s">
        <v>224</v>
      </c>
      <c r="D5" s="49" t="s">
        <v>223</v>
      </c>
      <c r="E5" s="48"/>
      <c r="F5" s="47" t="s">
        <v>303</v>
      </c>
      <c r="G5" s="47">
        <v>100</v>
      </c>
      <c r="H5" s="47">
        <v>150</v>
      </c>
      <c r="I5" s="47">
        <v>200</v>
      </c>
      <c r="J5" s="47">
        <v>250</v>
      </c>
      <c r="K5" s="104">
        <v>300</v>
      </c>
      <c r="L5" s="197">
        <v>350</v>
      </c>
      <c r="M5" s="205">
        <v>400</v>
      </c>
      <c r="N5" s="177"/>
      <c r="O5" s="176"/>
      <c r="P5" s="107"/>
      <c r="Q5" s="215"/>
      <c r="R5" s="104"/>
      <c r="S5" s="107"/>
      <c r="T5" s="107"/>
      <c r="U5" s="105"/>
      <c r="V5" s="174" t="s">
        <v>225</v>
      </c>
      <c r="W5" s="80"/>
      <c r="X5" s="80"/>
      <c r="Y5" s="50" t="s">
        <v>224</v>
      </c>
      <c r="Z5" s="49" t="s">
        <v>223</v>
      </c>
      <c r="AA5" s="48"/>
      <c r="AB5" s="47" t="s">
        <v>303</v>
      </c>
      <c r="AC5" s="47">
        <v>100</v>
      </c>
      <c r="AD5" s="47">
        <v>150</v>
      </c>
      <c r="AE5" s="47">
        <v>200</v>
      </c>
      <c r="AF5" s="47">
        <v>250</v>
      </c>
      <c r="AG5" s="104">
        <v>300</v>
      </c>
      <c r="AH5" s="197">
        <v>350</v>
      </c>
      <c r="AI5" s="205">
        <v>400</v>
      </c>
      <c r="AJ5" s="177"/>
      <c r="AK5" s="176"/>
      <c r="AL5" s="107"/>
      <c r="AM5" s="215"/>
      <c r="AN5" s="104"/>
      <c r="AO5" s="107"/>
      <c r="AP5" s="107"/>
      <c r="AQ5" s="105"/>
    </row>
    <row r="6" spans="1:43" ht="20.25" customHeight="1" x14ac:dyDescent="0.2">
      <c r="A6" s="51"/>
      <c r="B6" s="80"/>
      <c r="C6" s="185" t="s">
        <v>285</v>
      </c>
      <c r="D6" s="186" t="s">
        <v>235</v>
      </c>
      <c r="E6" s="187" t="s">
        <v>502</v>
      </c>
      <c r="F6" s="188">
        <v>40</v>
      </c>
      <c r="G6" s="387" t="s">
        <v>580</v>
      </c>
      <c r="H6" s="387" t="s">
        <v>581</v>
      </c>
      <c r="I6" s="387" t="s">
        <v>582</v>
      </c>
      <c r="J6" s="387" t="s">
        <v>583</v>
      </c>
      <c r="K6" s="392" t="s">
        <v>584</v>
      </c>
      <c r="L6" s="393" t="s">
        <v>585</v>
      </c>
      <c r="M6" s="389" t="s">
        <v>586</v>
      </c>
      <c r="N6" s="686" t="s">
        <v>587</v>
      </c>
      <c r="O6" s="687"/>
      <c r="P6" s="216"/>
      <c r="Q6" s="216"/>
      <c r="R6" s="189"/>
      <c r="S6" s="190"/>
      <c r="T6" s="190"/>
      <c r="U6" s="191"/>
      <c r="V6" s="21"/>
      <c r="X6" s="80"/>
      <c r="Y6" s="185" t="s">
        <v>285</v>
      </c>
      <c r="Z6" s="186" t="s">
        <v>235</v>
      </c>
      <c r="AA6" s="187" t="s">
        <v>502</v>
      </c>
      <c r="AB6" s="188">
        <v>40</v>
      </c>
      <c r="AC6" s="387" t="s">
        <v>580</v>
      </c>
      <c r="AD6" s="387" t="s">
        <v>581</v>
      </c>
      <c r="AE6" s="387" t="s">
        <v>582</v>
      </c>
      <c r="AF6" s="387" t="s">
        <v>583</v>
      </c>
      <c r="AG6" s="392" t="s">
        <v>584</v>
      </c>
      <c r="AH6" s="393" t="s">
        <v>585</v>
      </c>
      <c r="AI6" s="389" t="s">
        <v>586</v>
      </c>
      <c r="AJ6" s="686" t="s">
        <v>587</v>
      </c>
      <c r="AK6" s="687"/>
      <c r="AL6" s="216"/>
      <c r="AM6" s="216"/>
      <c r="AN6" s="189"/>
      <c r="AO6" s="190"/>
      <c r="AP6" s="190"/>
      <c r="AQ6" s="191"/>
    </row>
    <row r="7" spans="1:43" ht="12.75" customHeight="1" thickBot="1" x14ac:dyDescent="0.25">
      <c r="A7" s="46"/>
      <c r="B7" s="193"/>
      <c r="C7" s="671" t="s">
        <v>284</v>
      </c>
      <c r="D7" s="672"/>
      <c r="E7" s="45"/>
      <c r="F7" s="673" t="s">
        <v>286</v>
      </c>
      <c r="G7" s="734"/>
      <c r="H7" s="734"/>
      <c r="I7" s="734"/>
      <c r="J7" s="734"/>
      <c r="K7" s="734"/>
      <c r="L7" s="672"/>
      <c r="M7" s="236" t="s">
        <v>287</v>
      </c>
      <c r="N7" s="202"/>
      <c r="O7" s="213"/>
      <c r="P7" s="213"/>
      <c r="Q7" s="213"/>
      <c r="R7" s="201"/>
      <c r="S7" s="202"/>
      <c r="T7" s="202"/>
      <c r="U7" s="106"/>
      <c r="V7" s="21"/>
      <c r="X7" s="343"/>
      <c r="Y7" s="644" t="s">
        <v>284</v>
      </c>
      <c r="Z7" s="810"/>
      <c r="AA7" s="187"/>
      <c r="AB7" s="647" t="s">
        <v>286</v>
      </c>
      <c r="AC7" s="809"/>
      <c r="AD7" s="734"/>
      <c r="AE7" s="734"/>
      <c r="AF7" s="734"/>
      <c r="AG7" s="734"/>
      <c r="AH7" s="672"/>
      <c r="AI7" s="236" t="s">
        <v>287</v>
      </c>
      <c r="AJ7" s="202"/>
      <c r="AK7" s="213"/>
      <c r="AL7" s="213"/>
      <c r="AM7" s="213"/>
      <c r="AN7" s="201"/>
      <c r="AO7" s="202"/>
      <c r="AP7" s="202"/>
      <c r="AQ7" s="106"/>
    </row>
    <row r="8" spans="1:43" ht="13.15" customHeight="1" x14ac:dyDescent="0.2">
      <c r="A8" s="413" t="s">
        <v>633</v>
      </c>
      <c r="B8" s="158" t="s">
        <v>220</v>
      </c>
      <c r="C8" s="200">
        <v>15</v>
      </c>
      <c r="D8" s="38" t="s">
        <v>648</v>
      </c>
      <c r="E8" s="38">
        <v>25</v>
      </c>
      <c r="F8" s="38" t="s">
        <v>649</v>
      </c>
      <c r="G8" s="38">
        <v>40</v>
      </c>
      <c r="H8" s="38">
        <v>50</v>
      </c>
      <c r="I8" s="38" t="s">
        <v>299</v>
      </c>
      <c r="J8" s="38">
        <v>80</v>
      </c>
      <c r="K8" s="38">
        <v>100</v>
      </c>
      <c r="L8" s="38" t="s">
        <v>300</v>
      </c>
      <c r="M8" s="38">
        <v>150</v>
      </c>
      <c r="N8" s="38">
        <v>200</v>
      </c>
      <c r="O8" s="38">
        <v>250</v>
      </c>
      <c r="P8" s="38">
        <v>300</v>
      </c>
      <c r="Q8" s="38">
        <v>350</v>
      </c>
      <c r="R8" s="78">
        <v>400</v>
      </c>
      <c r="S8" s="38">
        <v>450</v>
      </c>
      <c r="T8" s="38">
        <v>500</v>
      </c>
      <c r="U8" s="37">
        <v>600</v>
      </c>
      <c r="V8" s="174"/>
      <c r="W8" s="346"/>
      <c r="X8" s="337"/>
      <c r="Y8" s="337"/>
      <c r="Z8" s="345"/>
      <c r="AA8" s="167"/>
      <c r="AB8" s="167"/>
      <c r="AC8" s="167"/>
      <c r="AD8" s="103"/>
      <c r="AE8" s="103"/>
      <c r="AF8" s="103"/>
      <c r="AG8" s="103"/>
      <c r="AH8" s="103"/>
      <c r="AI8" s="103"/>
      <c r="AJ8" s="103"/>
      <c r="AK8" s="103"/>
      <c r="AL8" s="103"/>
      <c r="AM8" s="103"/>
      <c r="AN8" s="103"/>
      <c r="AO8" s="103"/>
      <c r="AP8" s="103"/>
      <c r="AQ8" s="89"/>
    </row>
    <row r="9" spans="1:43" ht="13.15" customHeight="1" x14ac:dyDescent="0.2">
      <c r="A9" s="416" t="s">
        <v>634</v>
      </c>
      <c r="B9" s="293" t="s">
        <v>222</v>
      </c>
      <c r="C9" s="35">
        <v>21.3</v>
      </c>
      <c r="D9" s="42">
        <v>26.9</v>
      </c>
      <c r="E9" s="34">
        <v>33.700000000000003</v>
      </c>
      <c r="F9" s="34">
        <v>42.4</v>
      </c>
      <c r="G9" s="34">
        <v>48.3</v>
      </c>
      <c r="H9" s="34">
        <v>60.3</v>
      </c>
      <c r="I9" s="34">
        <v>76.099999999999994</v>
      </c>
      <c r="J9" s="34">
        <v>88.9</v>
      </c>
      <c r="K9" s="34">
        <v>114.3</v>
      </c>
      <c r="L9" s="34">
        <v>139.69999999999999</v>
      </c>
      <c r="M9" s="34">
        <v>168.3</v>
      </c>
      <c r="N9" s="34">
        <v>219.1</v>
      </c>
      <c r="O9" s="34">
        <v>273</v>
      </c>
      <c r="P9" s="34">
        <v>323.89999999999998</v>
      </c>
      <c r="Q9" s="34">
        <v>355.6</v>
      </c>
      <c r="R9" s="34">
        <v>406.4</v>
      </c>
      <c r="S9" s="34">
        <v>457</v>
      </c>
      <c r="T9" s="34">
        <v>508</v>
      </c>
      <c r="U9" s="41">
        <v>610</v>
      </c>
      <c r="V9" s="51"/>
      <c r="W9" s="80"/>
      <c r="X9" s="311"/>
      <c r="Y9" s="311"/>
      <c r="Z9" s="168"/>
      <c r="AA9" s="168"/>
      <c r="AB9" s="168"/>
      <c r="AC9" s="168"/>
      <c r="AQ9" s="89"/>
    </row>
    <row r="10" spans="1:43" ht="13.15" customHeight="1" x14ac:dyDescent="0.2">
      <c r="A10" s="417" t="s">
        <v>635</v>
      </c>
      <c r="B10" s="294" t="s">
        <v>222</v>
      </c>
      <c r="C10" s="238">
        <v>2.6</v>
      </c>
      <c r="D10" s="239">
        <v>2.6</v>
      </c>
      <c r="E10" s="239">
        <v>2.6</v>
      </c>
      <c r="F10" s="239">
        <v>2.6</v>
      </c>
      <c r="G10" s="239">
        <v>2.6</v>
      </c>
      <c r="H10" s="239">
        <v>2.9</v>
      </c>
      <c r="I10" s="239">
        <v>2.9</v>
      </c>
      <c r="J10" s="239">
        <v>3.2</v>
      </c>
      <c r="K10" s="239">
        <v>3.6</v>
      </c>
      <c r="L10" s="239">
        <v>4</v>
      </c>
      <c r="M10" s="239">
        <v>4.5</v>
      </c>
      <c r="N10" s="239">
        <v>6.3</v>
      </c>
      <c r="O10" s="239">
        <v>7.1</v>
      </c>
      <c r="P10" s="239">
        <v>8</v>
      </c>
      <c r="Q10" s="239">
        <v>8.8000000000000007</v>
      </c>
      <c r="R10" s="239">
        <v>10</v>
      </c>
      <c r="S10" s="811" t="s">
        <v>268</v>
      </c>
      <c r="T10" s="812"/>
      <c r="U10" s="813"/>
      <c r="V10" s="488"/>
      <c r="W10" s="340"/>
      <c r="X10" s="311"/>
      <c r="Y10" s="311"/>
      <c r="Z10" s="168"/>
      <c r="AA10" s="168"/>
      <c r="AB10" s="168"/>
      <c r="AC10" s="168"/>
      <c r="AQ10" s="89"/>
    </row>
    <row r="11" spans="1:43" ht="13.15" customHeight="1" x14ac:dyDescent="0.2">
      <c r="A11" s="84" t="s">
        <v>636</v>
      </c>
      <c r="B11" s="295" t="s">
        <v>236</v>
      </c>
      <c r="C11" s="736" t="s">
        <v>302</v>
      </c>
      <c r="D11" s="737"/>
      <c r="E11" s="737"/>
      <c r="F11" s="737"/>
      <c r="G11" s="737"/>
      <c r="H11" s="737"/>
      <c r="I11" s="737"/>
      <c r="J11" s="737"/>
      <c r="K11" s="737"/>
      <c r="L11" s="737"/>
      <c r="M11" s="737"/>
      <c r="N11" s="737"/>
      <c r="O11" s="737"/>
      <c r="P11" s="737"/>
      <c r="Q11" s="737"/>
      <c r="R11" s="808"/>
      <c r="S11" s="811"/>
      <c r="T11" s="812"/>
      <c r="U11" s="813"/>
      <c r="V11" s="488"/>
      <c r="W11" s="340"/>
      <c r="Z11" s="168"/>
      <c r="AQ11" s="89"/>
    </row>
    <row r="12" spans="1:43" ht="13.15" customHeight="1" thickBot="1" x14ac:dyDescent="0.25">
      <c r="A12" s="419" t="s">
        <v>637</v>
      </c>
      <c r="B12" s="296" t="s">
        <v>222</v>
      </c>
      <c r="C12" s="40">
        <f>C9-2*C10</f>
        <v>16.100000000000001</v>
      </c>
      <c r="D12" s="32"/>
      <c r="E12" s="39">
        <f>E9-2*E10</f>
        <v>28.500000000000004</v>
      </c>
      <c r="F12" s="39"/>
      <c r="G12" s="39">
        <f t="shared" ref="G12:R12" si="0">G9-2*G10</f>
        <v>43.099999999999994</v>
      </c>
      <c r="H12" s="39">
        <f>H9-2*H10</f>
        <v>54.5</v>
      </c>
      <c r="I12" s="39">
        <f>I9-2*I10</f>
        <v>70.3</v>
      </c>
      <c r="J12" s="39">
        <f t="shared" si="0"/>
        <v>82.5</v>
      </c>
      <c r="K12" s="39">
        <f t="shared" si="0"/>
        <v>107.1</v>
      </c>
      <c r="L12" s="39">
        <f t="shared" si="0"/>
        <v>131.69999999999999</v>
      </c>
      <c r="M12" s="39">
        <f t="shared" si="0"/>
        <v>159.30000000000001</v>
      </c>
      <c r="N12" s="39">
        <f t="shared" si="0"/>
        <v>206.5</v>
      </c>
      <c r="O12" s="39">
        <f t="shared" si="0"/>
        <v>258.8</v>
      </c>
      <c r="P12" s="39">
        <f t="shared" si="0"/>
        <v>307.89999999999998</v>
      </c>
      <c r="Q12" s="39">
        <f t="shared" si="0"/>
        <v>338</v>
      </c>
      <c r="R12" s="39">
        <f t="shared" si="0"/>
        <v>386.4</v>
      </c>
      <c r="S12" s="814"/>
      <c r="T12" s="815"/>
      <c r="U12" s="816"/>
      <c r="V12" s="488"/>
      <c r="W12" s="340"/>
      <c r="X12" s="311"/>
      <c r="Y12" s="311"/>
      <c r="Z12" s="168"/>
      <c r="AA12" s="170"/>
      <c r="AB12" s="170"/>
      <c r="AC12" s="170"/>
      <c r="AQ12" s="89"/>
    </row>
    <row r="13" spans="1:43" ht="13.15" customHeight="1" x14ac:dyDescent="0.2">
      <c r="A13" s="413" t="s">
        <v>638</v>
      </c>
      <c r="B13" s="158" t="s">
        <v>220</v>
      </c>
      <c r="C13" s="200">
        <v>15</v>
      </c>
      <c r="D13" s="38" t="s">
        <v>648</v>
      </c>
      <c r="E13" s="38">
        <v>25</v>
      </c>
      <c r="F13" s="38" t="s">
        <v>649</v>
      </c>
      <c r="G13" s="38">
        <v>40</v>
      </c>
      <c r="H13" s="38">
        <v>50</v>
      </c>
      <c r="I13" s="38" t="s">
        <v>299</v>
      </c>
      <c r="J13" s="38">
        <v>80</v>
      </c>
      <c r="K13" s="38">
        <v>100</v>
      </c>
      <c r="L13" s="38" t="s">
        <v>300</v>
      </c>
      <c r="M13" s="38">
        <v>150</v>
      </c>
      <c r="N13" s="38">
        <v>200</v>
      </c>
      <c r="O13" s="38">
        <v>250</v>
      </c>
      <c r="P13" s="38">
        <v>300</v>
      </c>
      <c r="Q13" s="38">
        <v>350</v>
      </c>
      <c r="R13" s="78">
        <v>400</v>
      </c>
      <c r="S13" s="38">
        <v>450</v>
      </c>
      <c r="T13" s="38">
        <v>500</v>
      </c>
      <c r="U13" s="37">
        <v>600</v>
      </c>
      <c r="V13" s="51"/>
      <c r="W13" s="80"/>
      <c r="X13" s="311"/>
      <c r="Y13" s="311"/>
      <c r="Z13" s="168"/>
      <c r="AA13" s="171"/>
      <c r="AB13" s="171"/>
      <c r="AC13" s="171"/>
      <c r="AQ13" s="89"/>
    </row>
    <row r="14" spans="1:43" ht="13.15" customHeight="1" x14ac:dyDescent="0.2">
      <c r="A14" s="416" t="s">
        <v>639</v>
      </c>
      <c r="B14" s="297" t="s">
        <v>222</v>
      </c>
      <c r="C14" s="35">
        <v>21.3</v>
      </c>
      <c r="D14" s="34">
        <v>26.9</v>
      </c>
      <c r="E14" s="34">
        <v>33.700000000000003</v>
      </c>
      <c r="F14" s="34">
        <v>42.4</v>
      </c>
      <c r="G14" s="34">
        <v>48.3</v>
      </c>
      <c r="H14" s="34">
        <v>60.3</v>
      </c>
      <c r="I14" s="34">
        <v>76.099999999999994</v>
      </c>
      <c r="J14" s="34">
        <v>88.9</v>
      </c>
      <c r="K14" s="34">
        <v>114.3</v>
      </c>
      <c r="L14" s="34">
        <v>139.69999999999999</v>
      </c>
      <c r="M14" s="34">
        <v>168.3</v>
      </c>
      <c r="N14" s="34">
        <v>219.1</v>
      </c>
      <c r="O14" s="34">
        <v>273</v>
      </c>
      <c r="P14" s="34">
        <v>323.89999999999998</v>
      </c>
      <c r="Q14" s="34">
        <v>355.6</v>
      </c>
      <c r="R14" s="34">
        <v>406.4</v>
      </c>
      <c r="S14" s="34">
        <v>457</v>
      </c>
      <c r="T14" s="34">
        <v>508</v>
      </c>
      <c r="U14" s="41">
        <v>610</v>
      </c>
      <c r="V14" s="51"/>
      <c r="W14" s="80"/>
      <c r="X14" s="311"/>
      <c r="Y14" s="311"/>
      <c r="Z14" s="168"/>
      <c r="AA14" s="168"/>
      <c r="AB14" s="168"/>
      <c r="AC14" s="168"/>
      <c r="AQ14" s="89"/>
    </row>
    <row r="15" spans="1:43" ht="13.15" customHeight="1" x14ac:dyDescent="0.2">
      <c r="A15" s="417" t="s">
        <v>640</v>
      </c>
      <c r="B15" s="294" t="s">
        <v>222</v>
      </c>
      <c r="C15" s="238">
        <v>2.6</v>
      </c>
      <c r="D15" s="239">
        <v>2.6</v>
      </c>
      <c r="E15" s="239">
        <v>2.6</v>
      </c>
      <c r="F15" s="239">
        <v>2.6</v>
      </c>
      <c r="G15" s="239">
        <v>2.6</v>
      </c>
      <c r="H15" s="239">
        <v>2.9</v>
      </c>
      <c r="I15" s="239">
        <v>2.9</v>
      </c>
      <c r="J15" s="239">
        <v>3.2</v>
      </c>
      <c r="K15" s="239">
        <v>3.6</v>
      </c>
      <c r="L15" s="239">
        <v>4</v>
      </c>
      <c r="M15" s="239">
        <v>4.5</v>
      </c>
      <c r="N15" s="239">
        <v>6.3</v>
      </c>
      <c r="O15" s="239">
        <v>8.8000000000000007</v>
      </c>
      <c r="P15" s="239">
        <v>8.8000000000000007</v>
      </c>
      <c r="Q15" s="239">
        <v>10</v>
      </c>
      <c r="R15" s="239">
        <v>10</v>
      </c>
      <c r="S15" s="811" t="s">
        <v>268</v>
      </c>
      <c r="T15" s="817"/>
      <c r="U15" s="818"/>
      <c r="V15" s="488"/>
      <c r="W15" s="340"/>
      <c r="X15" s="311"/>
      <c r="Y15" s="311"/>
      <c r="Z15" s="168"/>
      <c r="AA15" s="168"/>
      <c r="AB15" s="168"/>
      <c r="AC15" s="168"/>
      <c r="AQ15" s="89"/>
    </row>
    <row r="16" spans="1:43" ht="13.15" customHeight="1" thickBot="1" x14ac:dyDescent="0.25">
      <c r="A16" s="419" t="s">
        <v>641</v>
      </c>
      <c r="B16" s="296" t="s">
        <v>222</v>
      </c>
      <c r="C16" s="316">
        <v>3</v>
      </c>
      <c r="D16" s="469">
        <v>3</v>
      </c>
      <c r="E16" s="317" t="s">
        <v>543</v>
      </c>
      <c r="F16" s="317" t="s">
        <v>543</v>
      </c>
      <c r="G16" s="317" t="s">
        <v>543</v>
      </c>
      <c r="H16" s="317">
        <v>2</v>
      </c>
      <c r="I16" s="317">
        <v>2</v>
      </c>
      <c r="J16" s="317">
        <v>2</v>
      </c>
      <c r="K16" s="317" t="s">
        <v>543</v>
      </c>
      <c r="L16" s="317" t="s">
        <v>543</v>
      </c>
      <c r="M16" s="317" t="s">
        <v>543</v>
      </c>
      <c r="N16" s="317">
        <v>2</v>
      </c>
      <c r="O16" s="317">
        <v>3</v>
      </c>
      <c r="P16" s="317">
        <v>3</v>
      </c>
      <c r="Q16" s="317">
        <v>3</v>
      </c>
      <c r="R16" s="317">
        <v>3</v>
      </c>
      <c r="S16" s="819"/>
      <c r="T16" s="820"/>
      <c r="U16" s="821"/>
      <c r="V16" s="488"/>
      <c r="W16" s="340"/>
      <c r="X16" s="311"/>
      <c r="Y16" s="311"/>
      <c r="Z16" s="168"/>
      <c r="AA16" s="171"/>
      <c r="AB16" s="171"/>
      <c r="AC16" s="171"/>
      <c r="AO16"/>
      <c r="AQ16" s="89"/>
    </row>
    <row r="17" spans="1:43" ht="13.15" customHeight="1" x14ac:dyDescent="0.2">
      <c r="A17" s="31" t="s">
        <v>221</v>
      </c>
      <c r="B17" s="422"/>
      <c r="C17" s="631" t="s">
        <v>220</v>
      </c>
      <c r="D17" s="632"/>
      <c r="E17" s="633" t="s">
        <v>197</v>
      </c>
      <c r="F17" s="634"/>
      <c r="G17" s="634"/>
      <c r="H17" s="634"/>
      <c r="I17" s="634"/>
      <c r="J17" s="634"/>
      <c r="K17" s="635" t="s">
        <v>241</v>
      </c>
      <c r="L17" s="634"/>
      <c r="M17" s="634"/>
      <c r="N17" s="636"/>
      <c r="O17" s="656" t="s">
        <v>243</v>
      </c>
      <c r="P17" s="656" t="s">
        <v>242</v>
      </c>
      <c r="Q17" s="637" t="s">
        <v>244</v>
      </c>
      <c r="R17" s="638"/>
      <c r="S17" s="633" t="s">
        <v>245</v>
      </c>
      <c r="T17" s="639"/>
      <c r="U17" s="640"/>
      <c r="V17" s="263"/>
      <c r="AQ17" s="89"/>
    </row>
    <row r="18" spans="1:43" ht="13.15" customHeight="1" x14ac:dyDescent="0.2">
      <c r="A18" s="20"/>
      <c r="B18" s="424"/>
      <c r="C18" s="30" t="s">
        <v>219</v>
      </c>
      <c r="D18" s="30" t="s">
        <v>218</v>
      </c>
      <c r="E18" s="554"/>
      <c r="F18" s="555"/>
      <c r="G18" s="555"/>
      <c r="H18" s="555"/>
      <c r="I18" s="555"/>
      <c r="J18" s="555"/>
      <c r="K18" s="558"/>
      <c r="L18" s="555"/>
      <c r="M18" s="555"/>
      <c r="N18" s="556"/>
      <c r="O18" s="555"/>
      <c r="P18" s="555"/>
      <c r="Q18" s="555"/>
      <c r="R18" s="555"/>
      <c r="S18" s="641"/>
      <c r="T18" s="642"/>
      <c r="U18" s="643"/>
      <c r="V18" s="263"/>
      <c r="W18" s="168"/>
      <c r="X18" s="338"/>
      <c r="Y18" s="339"/>
      <c r="Z18" s="339"/>
      <c r="AA18" s="339"/>
      <c r="AB18" s="339"/>
      <c r="AC18" s="339"/>
      <c r="AD18" s="339"/>
      <c r="AE18" s="339"/>
      <c r="AF18" s="339"/>
      <c r="AG18" s="339"/>
      <c r="AH18" s="339"/>
      <c r="AI18" s="339"/>
      <c r="AJ18" s="339"/>
      <c r="AK18" s="339"/>
      <c r="AL18" s="339"/>
      <c r="AM18" s="339"/>
      <c r="AN18" s="339"/>
      <c r="AQ18" s="89"/>
    </row>
    <row r="19" spans="1:43" ht="13.15" customHeight="1" x14ac:dyDescent="0.2">
      <c r="A19" s="19" t="s">
        <v>217</v>
      </c>
      <c r="B19" s="60"/>
      <c r="C19" s="24">
        <v>15</v>
      </c>
      <c r="D19" s="24">
        <v>50</v>
      </c>
      <c r="E19" s="561" t="s">
        <v>496</v>
      </c>
      <c r="F19" s="562"/>
      <c r="G19" s="562"/>
      <c r="H19" s="562"/>
      <c r="I19" s="562"/>
      <c r="J19" s="563"/>
      <c r="K19" s="564" t="s">
        <v>322</v>
      </c>
      <c r="L19" s="562"/>
      <c r="M19" s="562"/>
      <c r="N19" s="563"/>
      <c r="O19" s="97" t="s">
        <v>236</v>
      </c>
      <c r="P19" s="97" t="s">
        <v>485</v>
      </c>
      <c r="Q19" s="651" t="s">
        <v>304</v>
      </c>
      <c r="R19" s="626"/>
      <c r="S19" s="88"/>
      <c r="U19" s="89"/>
      <c r="V19" s="657" t="s">
        <v>274</v>
      </c>
      <c r="W19" s="1">
        <v>15</v>
      </c>
      <c r="X19" s="136" t="s">
        <v>406</v>
      </c>
      <c r="Y19" s="137"/>
      <c r="Z19" s="137"/>
      <c r="AA19" s="137"/>
      <c r="AB19" s="137"/>
      <c r="AC19" s="137"/>
      <c r="AD19" s="137"/>
      <c r="AE19" s="137"/>
      <c r="AF19" s="137"/>
      <c r="AG19" s="137"/>
      <c r="AH19" s="137"/>
      <c r="AI19" s="137"/>
      <c r="AJ19" s="137"/>
      <c r="AK19" s="137"/>
      <c r="AL19" s="138"/>
      <c r="AM19" s="138"/>
      <c r="AN19"/>
      <c r="AQ19" s="89"/>
    </row>
    <row r="20" spans="1:43" ht="13.15" customHeight="1" x14ac:dyDescent="0.2">
      <c r="A20" s="19"/>
      <c r="B20" s="60"/>
      <c r="C20" s="24">
        <v>65</v>
      </c>
      <c r="D20" s="24">
        <v>400</v>
      </c>
      <c r="E20" s="583" t="s">
        <v>496</v>
      </c>
      <c r="F20" s="549"/>
      <c r="G20" s="549"/>
      <c r="H20" s="549"/>
      <c r="I20" s="549"/>
      <c r="J20" s="550"/>
      <c r="K20" s="584" t="s">
        <v>322</v>
      </c>
      <c r="L20" s="549"/>
      <c r="M20" s="549"/>
      <c r="N20" s="550"/>
      <c r="O20" s="98" t="s">
        <v>236</v>
      </c>
      <c r="P20" s="98" t="s">
        <v>484</v>
      </c>
      <c r="Q20" s="652" t="s">
        <v>304</v>
      </c>
      <c r="R20" s="586"/>
      <c r="S20" s="88"/>
      <c r="U20" s="89"/>
      <c r="V20" s="658"/>
      <c r="W20" s="430" t="s">
        <v>642</v>
      </c>
      <c r="X20" s="139"/>
      <c r="Y20" s="136"/>
      <c r="Z20" s="147"/>
      <c r="AA20" s="137"/>
      <c r="AB20" s="137"/>
      <c r="AC20" s="137"/>
      <c r="AD20" s="137"/>
      <c r="AE20" s="137"/>
      <c r="AF20" s="137"/>
      <c r="AG20" s="137"/>
      <c r="AH20" s="137"/>
      <c r="AI20" s="137"/>
      <c r="AJ20" s="137"/>
      <c r="AK20" s="137"/>
      <c r="AL20" s="137"/>
      <c r="AM20" s="138"/>
      <c r="AN20" s="138"/>
      <c r="AQ20" s="89"/>
    </row>
    <row r="21" spans="1:43" ht="13.15" customHeight="1" x14ac:dyDescent="0.2">
      <c r="A21" s="19"/>
      <c r="B21" s="60"/>
      <c r="C21" s="24"/>
      <c r="D21" s="24"/>
      <c r="E21" s="583"/>
      <c r="F21" s="549"/>
      <c r="G21" s="549"/>
      <c r="H21" s="549"/>
      <c r="I21" s="549"/>
      <c r="J21" s="550"/>
      <c r="K21" s="584"/>
      <c r="L21" s="549"/>
      <c r="M21" s="549"/>
      <c r="N21" s="550"/>
      <c r="O21" s="98"/>
      <c r="P21" s="98"/>
      <c r="Q21" s="652"/>
      <c r="R21" s="586"/>
      <c r="S21" s="88"/>
      <c r="U21" s="89"/>
      <c r="V21" s="658"/>
      <c r="W21" s="118">
        <v>25</v>
      </c>
      <c r="X21" s="139" t="s">
        <v>406</v>
      </c>
      <c r="Y21" s="136"/>
      <c r="Z21" s="136" t="s">
        <v>413</v>
      </c>
      <c r="AA21" s="137"/>
      <c r="AB21" s="137"/>
      <c r="AC21" s="137"/>
      <c r="AD21" s="137"/>
      <c r="AE21" s="137"/>
      <c r="AF21" s="137"/>
      <c r="AG21" s="137"/>
      <c r="AH21" s="137"/>
      <c r="AI21" s="137"/>
      <c r="AJ21" s="137"/>
      <c r="AK21" s="137"/>
      <c r="AL21" s="137"/>
      <c r="AM21" s="138"/>
      <c r="AN21" s="138"/>
      <c r="AQ21" s="89"/>
    </row>
    <row r="22" spans="1:43" ht="13.15" customHeight="1" x14ac:dyDescent="0.2">
      <c r="A22" s="19"/>
      <c r="B22" s="60"/>
      <c r="C22" s="24"/>
      <c r="D22" s="24"/>
      <c r="E22" s="155"/>
      <c r="F22" s="160"/>
      <c r="G22" s="160"/>
      <c r="H22" s="160"/>
      <c r="I22" s="160"/>
      <c r="J22" s="181"/>
      <c r="K22" s="182"/>
      <c r="L22" s="160"/>
      <c r="M22" s="160"/>
      <c r="N22" s="181"/>
      <c r="O22" s="98"/>
      <c r="P22" s="98"/>
      <c r="Q22" s="183"/>
      <c r="R22" s="161"/>
      <c r="S22" s="88"/>
      <c r="U22" s="89"/>
      <c r="V22" s="658"/>
      <c r="W22" s="430" t="s">
        <v>643</v>
      </c>
      <c r="X22" s="139"/>
      <c r="Y22" s="136"/>
      <c r="Z22" s="136"/>
      <c r="AA22" s="136"/>
      <c r="AB22" s="147"/>
      <c r="AC22" s="137"/>
      <c r="AD22" s="137"/>
      <c r="AE22" s="137"/>
      <c r="AF22" s="137"/>
      <c r="AG22" s="137"/>
      <c r="AH22" s="137"/>
      <c r="AI22" s="137"/>
      <c r="AJ22" s="137"/>
      <c r="AK22" s="137"/>
      <c r="AL22" s="137"/>
      <c r="AM22" s="137"/>
      <c r="AN22" s="138"/>
      <c r="AO22" s="138"/>
      <c r="AQ22" s="89"/>
    </row>
    <row r="23" spans="1:43" ht="13.15" customHeight="1" x14ac:dyDescent="0.2">
      <c r="A23" s="19"/>
      <c r="B23" s="60"/>
      <c r="C23" s="24"/>
      <c r="D23" s="24"/>
      <c r="E23" s="155"/>
      <c r="F23" s="160"/>
      <c r="G23" s="160"/>
      <c r="H23" s="160"/>
      <c r="I23" s="160"/>
      <c r="J23" s="181"/>
      <c r="K23" s="182"/>
      <c r="L23" s="160"/>
      <c r="M23" s="160"/>
      <c r="N23" s="181"/>
      <c r="O23" s="98"/>
      <c r="P23" s="98"/>
      <c r="Q23" s="183"/>
      <c r="R23" s="161"/>
      <c r="S23" s="88"/>
      <c r="U23" s="89"/>
      <c r="V23" s="658"/>
      <c r="W23" s="118">
        <v>40</v>
      </c>
      <c r="X23" s="139" t="s">
        <v>407</v>
      </c>
      <c r="Y23" s="136"/>
      <c r="Z23" s="136" t="s">
        <v>407</v>
      </c>
      <c r="AA23" s="136"/>
      <c r="AB23" s="136" t="s">
        <v>407</v>
      </c>
      <c r="AC23" s="137"/>
      <c r="AD23" s="137"/>
      <c r="AE23" s="137"/>
      <c r="AF23" s="137"/>
      <c r="AG23" s="137"/>
      <c r="AH23" s="137"/>
      <c r="AI23" s="137"/>
      <c r="AJ23" s="137"/>
      <c r="AK23" s="137"/>
      <c r="AL23" s="137"/>
      <c r="AM23" s="137"/>
      <c r="AN23" s="138"/>
      <c r="AO23" s="138"/>
      <c r="AQ23" s="89"/>
    </row>
    <row r="24" spans="1:43" ht="13.15" customHeight="1" x14ac:dyDescent="0.2">
      <c r="A24" s="26" t="s">
        <v>298</v>
      </c>
      <c r="B24" s="435"/>
      <c r="C24" s="29">
        <v>15</v>
      </c>
      <c r="D24" s="25">
        <v>50</v>
      </c>
      <c r="E24" s="653" t="s">
        <v>495</v>
      </c>
      <c r="F24" s="654"/>
      <c r="G24" s="654"/>
      <c r="H24" s="654"/>
      <c r="I24" s="654"/>
      <c r="J24" s="655"/>
      <c r="K24" s="699" t="s">
        <v>322</v>
      </c>
      <c r="L24" s="654"/>
      <c r="M24" s="654"/>
      <c r="N24" s="655"/>
      <c r="O24" s="148" t="s">
        <v>236</v>
      </c>
      <c r="P24" s="97" t="s">
        <v>485</v>
      </c>
      <c r="Q24" s="697" t="s">
        <v>304</v>
      </c>
      <c r="R24" s="701"/>
      <c r="S24" s="90"/>
      <c r="T24" s="91"/>
      <c r="U24" s="92"/>
      <c r="V24" s="658"/>
      <c r="W24" s="1">
        <v>50</v>
      </c>
      <c r="X24" s="139" t="s">
        <v>694</v>
      </c>
      <c r="Y24" s="142"/>
      <c r="Z24" s="142" t="s">
        <v>407</v>
      </c>
      <c r="AA24" s="142"/>
      <c r="AB24" s="142" t="s">
        <v>407</v>
      </c>
      <c r="AC24" s="142" t="s">
        <v>407</v>
      </c>
      <c r="AD24" s="137"/>
      <c r="AE24" s="137"/>
      <c r="AF24" s="137"/>
      <c r="AG24" s="137"/>
      <c r="AH24" s="137"/>
      <c r="AI24" s="137"/>
      <c r="AJ24" s="137"/>
      <c r="AK24" s="137"/>
      <c r="AL24" s="137"/>
      <c r="AM24" s="137"/>
      <c r="AN24" s="138"/>
      <c r="AO24" s="138"/>
      <c r="AQ24" s="89"/>
    </row>
    <row r="25" spans="1:43" ht="13.15" customHeight="1" x14ac:dyDescent="0.2">
      <c r="A25" s="19" t="s">
        <v>305</v>
      </c>
      <c r="B25" s="60"/>
      <c r="C25" s="235">
        <v>15</v>
      </c>
      <c r="D25" s="242">
        <v>80</v>
      </c>
      <c r="E25" s="644" t="s">
        <v>503</v>
      </c>
      <c r="F25" s="645"/>
      <c r="G25" s="645"/>
      <c r="H25" s="645"/>
      <c r="I25" s="645"/>
      <c r="J25" s="646"/>
      <c r="K25" s="700" t="s">
        <v>323</v>
      </c>
      <c r="L25" s="645"/>
      <c r="M25" s="645"/>
      <c r="N25" s="646"/>
      <c r="O25" s="188" t="s">
        <v>236</v>
      </c>
      <c r="P25" s="188" t="s">
        <v>246</v>
      </c>
      <c r="Q25" s="647" t="s">
        <v>306</v>
      </c>
      <c r="R25" s="723"/>
      <c r="S25" s="93"/>
      <c r="U25" s="89"/>
      <c r="V25" s="658"/>
      <c r="W25" s="227" t="s">
        <v>295</v>
      </c>
      <c r="X25" s="139" t="s">
        <v>694</v>
      </c>
      <c r="Y25" s="142"/>
      <c r="Z25" s="142" t="s">
        <v>407</v>
      </c>
      <c r="AA25" s="142"/>
      <c r="AB25" s="142" t="s">
        <v>407</v>
      </c>
      <c r="AC25" s="142" t="s">
        <v>407</v>
      </c>
      <c r="AD25" s="142" t="s">
        <v>407</v>
      </c>
      <c r="AE25" s="147"/>
      <c r="AF25" s="137"/>
      <c r="AG25" s="137"/>
      <c r="AH25" s="137"/>
      <c r="AI25" s="137"/>
      <c r="AJ25" s="137"/>
      <c r="AK25" s="137"/>
      <c r="AL25" s="137"/>
      <c r="AM25" s="137"/>
      <c r="AN25" s="137"/>
      <c r="AO25" s="138"/>
      <c r="AP25" s="138"/>
      <c r="AQ25" s="89"/>
    </row>
    <row r="26" spans="1:43" ht="13.15" customHeight="1" x14ac:dyDescent="0.2">
      <c r="A26" s="19"/>
      <c r="B26" s="60"/>
      <c r="C26" s="24">
        <v>100</v>
      </c>
      <c r="D26" s="23">
        <v>400</v>
      </c>
      <c r="E26" s="583" t="s">
        <v>503</v>
      </c>
      <c r="F26" s="549"/>
      <c r="G26" s="549"/>
      <c r="H26" s="549"/>
      <c r="I26" s="549"/>
      <c r="J26" s="550"/>
      <c r="K26" s="584" t="s">
        <v>323</v>
      </c>
      <c r="L26" s="549"/>
      <c r="M26" s="549"/>
      <c r="N26" s="550"/>
      <c r="O26" s="98" t="s">
        <v>236</v>
      </c>
      <c r="P26" s="98" t="s">
        <v>246</v>
      </c>
      <c r="Q26" s="585" t="s">
        <v>307</v>
      </c>
      <c r="R26" s="615"/>
      <c r="S26" s="88"/>
      <c r="U26" s="89"/>
      <c r="V26" s="658"/>
      <c r="W26" s="1">
        <v>80</v>
      </c>
      <c r="X26" s="139" t="s">
        <v>694</v>
      </c>
      <c r="Y26" s="139"/>
      <c r="Z26" s="139" t="s">
        <v>401</v>
      </c>
      <c r="AA26" s="142"/>
      <c r="AB26" s="142" t="s">
        <v>407</v>
      </c>
      <c r="AC26" s="142" t="s">
        <v>407</v>
      </c>
      <c r="AD26" s="139" t="s">
        <v>396</v>
      </c>
      <c r="AE26" s="139" t="s">
        <v>396</v>
      </c>
      <c r="AF26" s="137"/>
      <c r="AG26" s="137"/>
      <c r="AH26" s="137"/>
      <c r="AI26" s="137"/>
      <c r="AJ26" s="137"/>
      <c r="AK26" s="137"/>
      <c r="AL26" s="137"/>
      <c r="AM26" s="137"/>
      <c r="AN26" s="137"/>
      <c r="AO26" s="138"/>
      <c r="AP26" s="138"/>
      <c r="AQ26" s="89"/>
    </row>
    <row r="27" spans="1:43" ht="13.15" customHeight="1" x14ac:dyDescent="0.2">
      <c r="A27" s="19"/>
      <c r="B27" s="60"/>
      <c r="C27" s="24"/>
      <c r="D27" s="23"/>
      <c r="E27" s="155"/>
      <c r="F27" s="160"/>
      <c r="G27" s="160"/>
      <c r="H27" s="160"/>
      <c r="I27" s="160"/>
      <c r="J27" s="181"/>
      <c r="K27" s="182"/>
      <c r="L27" s="160"/>
      <c r="M27" s="160"/>
      <c r="N27" s="181"/>
      <c r="O27" s="98"/>
      <c r="P27" s="98"/>
      <c r="Q27" s="183"/>
      <c r="R27" s="161"/>
      <c r="S27" s="93" t="s">
        <v>292</v>
      </c>
      <c r="U27" s="89"/>
      <c r="V27" s="658"/>
      <c r="W27" s="1">
        <v>100</v>
      </c>
      <c r="X27" s="139" t="s">
        <v>410</v>
      </c>
      <c r="Y27" s="139"/>
      <c r="Z27" s="139" t="s">
        <v>545</v>
      </c>
      <c r="AA27" s="139"/>
      <c r="AB27" s="139" t="s">
        <v>396</v>
      </c>
      <c r="AC27" s="139" t="s">
        <v>396</v>
      </c>
      <c r="AD27" s="139" t="s">
        <v>396</v>
      </c>
      <c r="AE27" s="139" t="s">
        <v>407</v>
      </c>
      <c r="AF27" s="139" t="s">
        <v>407</v>
      </c>
      <c r="AG27" s="147"/>
      <c r="AH27" s="137"/>
      <c r="AI27" s="137"/>
      <c r="AJ27" s="137"/>
      <c r="AK27" s="137"/>
      <c r="AL27" s="137"/>
      <c r="AM27" s="137"/>
      <c r="AN27" s="137"/>
      <c r="AO27" s="138"/>
      <c r="AP27" s="138"/>
      <c r="AQ27" s="89"/>
    </row>
    <row r="28" spans="1:43" ht="13.15" customHeight="1" x14ac:dyDescent="0.2">
      <c r="A28" s="20"/>
      <c r="B28" s="424"/>
      <c r="C28" s="28"/>
      <c r="D28" s="27"/>
      <c r="E28" s="320"/>
      <c r="F28" s="124"/>
      <c r="G28" s="124"/>
      <c r="H28" s="124"/>
      <c r="I28" s="124"/>
      <c r="J28" s="354"/>
      <c r="K28" s="321"/>
      <c r="L28" s="124"/>
      <c r="M28" s="124"/>
      <c r="N28" s="354"/>
      <c r="O28" s="110"/>
      <c r="P28" s="110"/>
      <c r="Q28" s="80"/>
      <c r="R28" s="80"/>
      <c r="S28" s="94"/>
      <c r="T28" s="95"/>
      <c r="U28" s="96"/>
      <c r="V28" s="658"/>
      <c r="W28" s="227" t="s">
        <v>296</v>
      </c>
      <c r="X28" s="139" t="s">
        <v>410</v>
      </c>
      <c r="Y28" s="139"/>
      <c r="Z28" s="139" t="s">
        <v>421</v>
      </c>
      <c r="AA28" s="139"/>
      <c r="AB28" s="139" t="s">
        <v>420</v>
      </c>
      <c r="AC28" s="139" t="s">
        <v>396</v>
      </c>
      <c r="AD28" s="139" t="s">
        <v>396</v>
      </c>
      <c r="AE28" s="139" t="s">
        <v>396</v>
      </c>
      <c r="AF28" s="139" t="s">
        <v>396</v>
      </c>
      <c r="AG28" s="139" t="s">
        <v>396</v>
      </c>
      <c r="AH28" s="137"/>
      <c r="AI28" s="137"/>
      <c r="AJ28" s="137"/>
      <c r="AK28" s="137"/>
      <c r="AL28" s="137"/>
      <c r="AM28" s="137"/>
      <c r="AN28" s="137"/>
      <c r="AO28" s="138"/>
      <c r="AP28" s="138"/>
      <c r="AQ28" s="89"/>
    </row>
    <row r="29" spans="1:43" ht="13.15" customHeight="1" x14ac:dyDescent="0.2">
      <c r="A29" s="19" t="s">
        <v>249</v>
      </c>
      <c r="B29" s="60"/>
      <c r="C29" s="24">
        <v>15</v>
      </c>
      <c r="D29" s="24">
        <v>25</v>
      </c>
      <c r="E29" s="561" t="s">
        <v>271</v>
      </c>
      <c r="F29" s="562"/>
      <c r="G29" s="562"/>
      <c r="H29" s="562"/>
      <c r="I29" s="562"/>
      <c r="J29" s="563"/>
      <c r="K29" s="564" t="s">
        <v>323</v>
      </c>
      <c r="L29" s="562"/>
      <c r="M29" s="562"/>
      <c r="N29" s="563"/>
      <c r="O29" s="97" t="s">
        <v>236</v>
      </c>
      <c r="P29" s="97" t="s">
        <v>246</v>
      </c>
      <c r="Q29" s="565" t="s">
        <v>306</v>
      </c>
      <c r="R29" s="566"/>
      <c r="S29" s="694" t="s">
        <v>548</v>
      </c>
      <c r="T29" s="91"/>
      <c r="U29" s="92"/>
      <c r="V29" s="658"/>
      <c r="W29" s="1">
        <v>150</v>
      </c>
      <c r="X29" s="139" t="s">
        <v>410</v>
      </c>
      <c r="Y29" s="139"/>
      <c r="Z29" s="139" t="s">
        <v>421</v>
      </c>
      <c r="AA29" s="139"/>
      <c r="AB29" s="139" t="s">
        <v>684</v>
      </c>
      <c r="AC29" s="139" t="s">
        <v>441</v>
      </c>
      <c r="AD29" s="139" t="s">
        <v>396</v>
      </c>
      <c r="AE29" s="139" t="s">
        <v>396</v>
      </c>
      <c r="AF29" s="139" t="s">
        <v>396</v>
      </c>
      <c r="AG29" s="139" t="s">
        <v>396</v>
      </c>
      <c r="AH29" s="139" t="s">
        <v>396</v>
      </c>
      <c r="AI29" s="137"/>
      <c r="AJ29" s="137"/>
      <c r="AK29" s="137"/>
      <c r="AL29" s="137"/>
      <c r="AM29" s="137"/>
      <c r="AN29" s="137"/>
      <c r="AO29" s="138"/>
      <c r="AP29" s="138"/>
      <c r="AQ29" s="89"/>
    </row>
    <row r="30" spans="1:43" ht="13.15" customHeight="1" x14ac:dyDescent="0.2">
      <c r="A30" s="19" t="s">
        <v>250</v>
      </c>
      <c r="B30" s="60"/>
      <c r="C30" s="24">
        <v>40</v>
      </c>
      <c r="D30" s="24">
        <v>400</v>
      </c>
      <c r="E30" s="583" t="s">
        <v>271</v>
      </c>
      <c r="F30" s="549"/>
      <c r="G30" s="549"/>
      <c r="H30" s="549"/>
      <c r="I30" s="549"/>
      <c r="J30" s="550"/>
      <c r="K30" s="584" t="s">
        <v>323</v>
      </c>
      <c r="L30" s="549"/>
      <c r="M30" s="549"/>
      <c r="N30" s="550"/>
      <c r="O30" s="98" t="s">
        <v>236</v>
      </c>
      <c r="P30" s="98" t="s">
        <v>246</v>
      </c>
      <c r="Q30" s="585" t="s">
        <v>307</v>
      </c>
      <c r="R30" s="615"/>
      <c r="S30" s="695"/>
      <c r="U30" s="89"/>
      <c r="V30" s="658"/>
      <c r="W30" s="1">
        <v>200</v>
      </c>
      <c r="X30" s="139" t="s">
        <v>410</v>
      </c>
      <c r="Y30" s="139"/>
      <c r="Z30" s="139" t="s">
        <v>421</v>
      </c>
      <c r="AA30" s="139"/>
      <c r="AB30" s="139" t="s">
        <v>684</v>
      </c>
      <c r="AC30" s="139" t="s">
        <v>441</v>
      </c>
      <c r="AD30" s="139" t="s">
        <v>442</v>
      </c>
      <c r="AE30" s="139" t="s">
        <v>407</v>
      </c>
      <c r="AF30" s="139" t="s">
        <v>407</v>
      </c>
      <c r="AG30" s="139" t="s">
        <v>407</v>
      </c>
      <c r="AH30" s="139" t="s">
        <v>407</v>
      </c>
      <c r="AI30" s="139" t="s">
        <v>407</v>
      </c>
      <c r="AJ30" s="137"/>
      <c r="AK30" s="137"/>
      <c r="AL30" s="137"/>
      <c r="AM30" s="137"/>
      <c r="AN30" s="137"/>
      <c r="AO30" s="138"/>
      <c r="AP30" s="138"/>
      <c r="AQ30" s="89"/>
    </row>
    <row r="31" spans="1:43" ht="13.15" customHeight="1" x14ac:dyDescent="0.2">
      <c r="A31" s="19"/>
      <c r="B31" s="60"/>
      <c r="C31" s="210" t="s">
        <v>236</v>
      </c>
      <c r="D31" s="210" t="s">
        <v>236</v>
      </c>
      <c r="E31" s="583" t="s">
        <v>325</v>
      </c>
      <c r="F31" s="549"/>
      <c r="G31" s="549"/>
      <c r="H31" s="549"/>
      <c r="I31" s="549"/>
      <c r="J31" s="550"/>
      <c r="K31" s="584" t="s">
        <v>322</v>
      </c>
      <c r="L31" s="549"/>
      <c r="M31" s="549"/>
      <c r="N31" s="550"/>
      <c r="O31" s="98" t="s">
        <v>236</v>
      </c>
      <c r="P31" s="98" t="s">
        <v>246</v>
      </c>
      <c r="Q31" s="585" t="s">
        <v>347</v>
      </c>
      <c r="R31" s="615"/>
      <c r="S31" s="695"/>
      <c r="U31" s="89"/>
      <c r="V31" s="658"/>
      <c r="W31" s="1">
        <v>250</v>
      </c>
      <c r="X31" s="139" t="s">
        <v>389</v>
      </c>
      <c r="Y31" s="139"/>
      <c r="Z31" s="139" t="s">
        <v>394</v>
      </c>
      <c r="AA31" s="139"/>
      <c r="AB31" s="139" t="s">
        <v>403</v>
      </c>
      <c r="AC31" s="139" t="s">
        <v>404</v>
      </c>
      <c r="AD31" s="139" t="s">
        <v>419</v>
      </c>
      <c r="AE31" s="142" t="s">
        <v>682</v>
      </c>
      <c r="AF31" s="139" t="s">
        <v>396</v>
      </c>
      <c r="AG31" s="139" t="s">
        <v>396</v>
      </c>
      <c r="AH31" s="139" t="s">
        <v>396</v>
      </c>
      <c r="AI31" s="139" t="s">
        <v>396</v>
      </c>
      <c r="AJ31" s="139" t="s">
        <v>396</v>
      </c>
      <c r="AK31" s="137"/>
      <c r="AL31" s="137"/>
      <c r="AM31" s="137"/>
      <c r="AN31" s="137"/>
      <c r="AO31" s="138"/>
      <c r="AP31" s="138"/>
      <c r="AQ31" s="89"/>
    </row>
    <row r="32" spans="1:43" ht="13.15" customHeight="1" x14ac:dyDescent="0.2">
      <c r="A32" s="19"/>
      <c r="B32" s="60"/>
      <c r="C32" s="210"/>
      <c r="D32" s="210"/>
      <c r="E32" s="155"/>
      <c r="F32" s="160"/>
      <c r="G32" s="160"/>
      <c r="H32" s="160"/>
      <c r="I32" s="160"/>
      <c r="J32" s="181"/>
      <c r="K32" s="182"/>
      <c r="L32" s="160"/>
      <c r="M32" s="160"/>
      <c r="N32" s="181"/>
      <c r="O32" s="98"/>
      <c r="P32" s="98"/>
      <c r="Q32" s="347"/>
      <c r="R32" s="348"/>
      <c r="S32" s="695"/>
      <c r="U32" s="89"/>
      <c r="V32" s="658"/>
      <c r="W32" s="1">
        <v>300</v>
      </c>
      <c r="X32" s="139" t="s">
        <v>389</v>
      </c>
      <c r="Y32" s="139"/>
      <c r="Z32" s="139" t="s">
        <v>394</v>
      </c>
      <c r="AA32" s="139"/>
      <c r="AB32" s="139" t="s">
        <v>403</v>
      </c>
      <c r="AC32" s="139" t="s">
        <v>404</v>
      </c>
      <c r="AD32" s="139" t="s">
        <v>419</v>
      </c>
      <c r="AE32" s="142" t="s">
        <v>519</v>
      </c>
      <c r="AF32" s="142" t="s">
        <v>519</v>
      </c>
      <c r="AG32" s="139" t="s">
        <v>396</v>
      </c>
      <c r="AH32" s="139" t="s">
        <v>396</v>
      </c>
      <c r="AI32" s="139" t="s">
        <v>396</v>
      </c>
      <c r="AJ32" s="139" t="s">
        <v>396</v>
      </c>
      <c r="AK32" s="139" t="s">
        <v>396</v>
      </c>
      <c r="AL32" s="137"/>
      <c r="AM32" s="137"/>
      <c r="AN32" s="137"/>
      <c r="AO32" s="138"/>
      <c r="AP32" s="138"/>
      <c r="AQ32" s="89"/>
    </row>
    <row r="33" spans="1:43" ht="13.15" customHeight="1" x14ac:dyDescent="0.2">
      <c r="A33" s="19" t="s">
        <v>256</v>
      </c>
      <c r="B33" s="60"/>
      <c r="C33" s="24">
        <v>100</v>
      </c>
      <c r="D33" s="24">
        <v>150</v>
      </c>
      <c r="E33" s="583" t="s">
        <v>529</v>
      </c>
      <c r="F33" s="549"/>
      <c r="G33" s="549"/>
      <c r="H33" s="549"/>
      <c r="I33" s="549"/>
      <c r="J33" s="550"/>
      <c r="K33" s="584" t="s">
        <v>418</v>
      </c>
      <c r="L33" s="549"/>
      <c r="M33" s="549"/>
      <c r="N33" s="550"/>
      <c r="O33" s="98" t="s">
        <v>236</v>
      </c>
      <c r="P33" s="98" t="s">
        <v>328</v>
      </c>
      <c r="Q33" s="585" t="s">
        <v>332</v>
      </c>
      <c r="R33" s="615"/>
      <c r="S33" s="695"/>
      <c r="T33" s="60" t="s">
        <v>524</v>
      </c>
      <c r="U33" s="322"/>
      <c r="V33" s="658"/>
      <c r="W33" s="1">
        <v>350</v>
      </c>
      <c r="X33" s="139" t="s">
        <v>389</v>
      </c>
      <c r="Y33" s="139"/>
      <c r="Z33" s="139" t="s">
        <v>394</v>
      </c>
      <c r="AA33" s="139"/>
      <c r="AB33" s="139" t="s">
        <v>427</v>
      </c>
      <c r="AC33" s="139" t="s">
        <v>685</v>
      </c>
      <c r="AD33" s="139" t="s">
        <v>429</v>
      </c>
      <c r="AE33" s="142" t="s">
        <v>521</v>
      </c>
      <c r="AF33" s="142" t="s">
        <v>521</v>
      </c>
      <c r="AG33" s="142" t="s">
        <v>521</v>
      </c>
      <c r="AH33" s="139" t="s">
        <v>396</v>
      </c>
      <c r="AI33" s="139" t="s">
        <v>396</v>
      </c>
      <c r="AJ33" s="139" t="s">
        <v>396</v>
      </c>
      <c r="AK33" s="139" t="s">
        <v>396</v>
      </c>
      <c r="AL33" s="139" t="s">
        <v>396</v>
      </c>
      <c r="AM33" s="137"/>
      <c r="AN33" s="137"/>
      <c r="AO33" s="138"/>
      <c r="AP33" s="138"/>
      <c r="AQ33" s="89"/>
    </row>
    <row r="34" spans="1:43" ht="13.15" customHeight="1" x14ac:dyDescent="0.2">
      <c r="A34" s="19"/>
      <c r="B34" s="60"/>
      <c r="C34" s="24">
        <v>200</v>
      </c>
      <c r="D34" s="24">
        <v>400</v>
      </c>
      <c r="E34" s="583" t="s">
        <v>528</v>
      </c>
      <c r="F34" s="549"/>
      <c r="G34" s="549"/>
      <c r="H34" s="549"/>
      <c r="I34" s="549"/>
      <c r="J34" s="550"/>
      <c r="K34" s="584" t="s">
        <v>418</v>
      </c>
      <c r="L34" s="549"/>
      <c r="M34" s="549"/>
      <c r="N34" s="550"/>
      <c r="O34" s="165" t="s">
        <v>236</v>
      </c>
      <c r="P34" s="98" t="s">
        <v>328</v>
      </c>
      <c r="Q34" s="585" t="s">
        <v>332</v>
      </c>
      <c r="R34" s="615"/>
      <c r="S34" s="695"/>
      <c r="T34" s="60" t="s">
        <v>525</v>
      </c>
      <c r="U34" s="89"/>
      <c r="V34" s="658"/>
      <c r="W34" s="1">
        <v>400</v>
      </c>
      <c r="X34" s="139" t="s">
        <v>389</v>
      </c>
      <c r="Y34" s="139"/>
      <c r="Z34" s="139" t="s">
        <v>394</v>
      </c>
      <c r="AA34" s="139"/>
      <c r="AB34" s="139" t="s">
        <v>427</v>
      </c>
      <c r="AC34" s="139" t="s">
        <v>685</v>
      </c>
      <c r="AD34" s="139" t="s">
        <v>429</v>
      </c>
      <c r="AE34" s="142" t="s">
        <v>523</v>
      </c>
      <c r="AF34" s="142" t="s">
        <v>523</v>
      </c>
      <c r="AG34" s="142" t="s">
        <v>523</v>
      </c>
      <c r="AH34" s="141" t="s">
        <v>396</v>
      </c>
      <c r="AI34" s="141" t="s">
        <v>396</v>
      </c>
      <c r="AJ34" s="141" t="s">
        <v>396</v>
      </c>
      <c r="AK34" s="141" t="s">
        <v>396</v>
      </c>
      <c r="AL34" s="141" t="s">
        <v>396</v>
      </c>
      <c r="AM34" s="141" t="s">
        <v>396</v>
      </c>
      <c r="AN34" s="137"/>
      <c r="AO34" s="138"/>
      <c r="AP34" s="138"/>
      <c r="AQ34" s="89"/>
    </row>
    <row r="35" spans="1:43" ht="13.15" customHeight="1" x14ac:dyDescent="0.2">
      <c r="A35" s="19"/>
      <c r="B35" s="60"/>
      <c r="C35" s="24"/>
      <c r="D35" s="24"/>
      <c r="E35" s="583" t="s">
        <v>530</v>
      </c>
      <c r="F35" s="549"/>
      <c r="G35" s="549"/>
      <c r="H35" s="549"/>
      <c r="I35" s="549"/>
      <c r="J35" s="550"/>
      <c r="K35" s="584">
        <v>1.5415000000000001</v>
      </c>
      <c r="L35" s="549"/>
      <c r="M35" s="549"/>
      <c r="N35" s="550"/>
      <c r="O35" s="165" t="s">
        <v>236</v>
      </c>
      <c r="P35" s="98" t="s">
        <v>257</v>
      </c>
      <c r="Q35" s="585" t="s">
        <v>721</v>
      </c>
      <c r="R35" s="615"/>
      <c r="S35" s="695"/>
      <c r="U35" s="89"/>
      <c r="V35" s="658"/>
      <c r="W35" s="1">
        <v>450</v>
      </c>
      <c r="X35" s="139"/>
      <c r="Y35" s="139"/>
      <c r="Z35" s="139"/>
      <c r="AA35" s="139"/>
      <c r="AB35" s="139"/>
      <c r="AC35" s="139"/>
      <c r="AD35" s="139"/>
      <c r="AE35" s="139"/>
      <c r="AF35" s="139"/>
      <c r="AG35" s="139"/>
      <c r="AH35" s="141"/>
      <c r="AI35" s="141"/>
      <c r="AJ35" s="141"/>
      <c r="AK35" s="141"/>
      <c r="AL35" s="141"/>
      <c r="AM35" s="141"/>
      <c r="AN35" s="141"/>
      <c r="AO35" s="138"/>
      <c r="AP35" s="138"/>
      <c r="AQ35" s="89"/>
    </row>
    <row r="36" spans="1:43" ht="13.15" customHeight="1" x14ac:dyDescent="0.2">
      <c r="A36" s="19"/>
      <c r="B36" s="60"/>
      <c r="C36" s="24"/>
      <c r="D36" s="24"/>
      <c r="E36" s="583" t="s">
        <v>327</v>
      </c>
      <c r="F36" s="549"/>
      <c r="G36" s="549"/>
      <c r="H36" s="549"/>
      <c r="I36" s="549"/>
      <c r="J36" s="550"/>
      <c r="K36" s="584" t="s">
        <v>330</v>
      </c>
      <c r="L36" s="549"/>
      <c r="M36" s="549"/>
      <c r="N36" s="550"/>
      <c r="O36" s="98" t="s">
        <v>236</v>
      </c>
      <c r="P36" s="98" t="s">
        <v>257</v>
      </c>
      <c r="Q36" s="585" t="s">
        <v>329</v>
      </c>
      <c r="R36" s="615"/>
      <c r="S36" s="695"/>
      <c r="U36" s="89"/>
      <c r="V36" s="658"/>
      <c r="W36" s="1">
        <v>500</v>
      </c>
      <c r="X36" s="139"/>
      <c r="Y36" s="139"/>
      <c r="Z36" s="139"/>
      <c r="AA36" s="139"/>
      <c r="AB36" s="139"/>
      <c r="AC36" s="139"/>
      <c r="AD36" s="139"/>
      <c r="AE36" s="139"/>
      <c r="AF36" s="139"/>
      <c r="AG36" s="139"/>
      <c r="AH36" s="141"/>
      <c r="AI36" s="139"/>
      <c r="AJ36" s="139"/>
      <c r="AK36" s="139"/>
      <c r="AL36" s="139"/>
      <c r="AM36" s="139"/>
      <c r="AN36" s="139"/>
      <c r="AO36" s="139"/>
      <c r="AP36" s="138"/>
      <c r="AQ36" s="89"/>
    </row>
    <row r="37" spans="1:43" ht="13.15" customHeight="1" x14ac:dyDescent="0.2">
      <c r="A37" s="19" t="s">
        <v>258</v>
      </c>
      <c r="B37" s="60"/>
      <c r="C37" s="24">
        <v>15</v>
      </c>
      <c r="D37" s="24">
        <v>40</v>
      </c>
      <c r="E37" s="583" t="s">
        <v>271</v>
      </c>
      <c r="F37" s="549"/>
      <c r="G37" s="549"/>
      <c r="H37" s="549"/>
      <c r="I37" s="549"/>
      <c r="J37" s="550"/>
      <c r="K37" s="584" t="s">
        <v>323</v>
      </c>
      <c r="L37" s="549"/>
      <c r="M37" s="549"/>
      <c r="N37" s="550"/>
      <c r="O37" s="98" t="s">
        <v>236</v>
      </c>
      <c r="P37" s="98" t="s">
        <v>246</v>
      </c>
      <c r="Q37" s="585" t="s">
        <v>306</v>
      </c>
      <c r="R37" s="615"/>
      <c r="S37" s="695"/>
      <c r="U37" s="89"/>
      <c r="V37" s="658"/>
      <c r="W37" s="1">
        <v>600</v>
      </c>
      <c r="X37" s="139"/>
      <c r="Y37" s="139"/>
      <c r="Z37" s="139"/>
      <c r="AA37" s="139"/>
      <c r="AB37" s="139"/>
      <c r="AC37" s="139"/>
      <c r="AD37" s="139"/>
      <c r="AE37" s="139"/>
      <c r="AF37" s="139"/>
      <c r="AG37" s="139"/>
      <c r="AH37" s="139"/>
      <c r="AI37" s="142"/>
      <c r="AJ37" s="139"/>
      <c r="AK37" s="139"/>
      <c r="AL37" s="139"/>
      <c r="AM37" s="139"/>
      <c r="AN37" s="142"/>
      <c r="AO37" s="139"/>
      <c r="AP37" s="139"/>
      <c r="AQ37" s="89"/>
    </row>
    <row r="38" spans="1:43" ht="13.15" customHeight="1" x14ac:dyDescent="0.2">
      <c r="A38" s="19"/>
      <c r="B38" s="60"/>
      <c r="C38" s="24">
        <v>50</v>
      </c>
      <c r="D38" s="24">
        <v>400</v>
      </c>
      <c r="E38" s="713" t="s">
        <v>378</v>
      </c>
      <c r="F38" s="714"/>
      <c r="G38" s="714"/>
      <c r="H38" s="714"/>
      <c r="I38" s="714"/>
      <c r="J38" s="715"/>
      <c r="K38" s="720" t="s">
        <v>418</v>
      </c>
      <c r="L38" s="714"/>
      <c r="M38" s="714"/>
      <c r="N38" s="715"/>
      <c r="O38" s="98" t="s">
        <v>236</v>
      </c>
      <c r="P38" s="98" t="s">
        <v>328</v>
      </c>
      <c r="Q38" s="718" t="s">
        <v>332</v>
      </c>
      <c r="R38" s="807"/>
      <c r="S38" s="696"/>
      <c r="T38" s="95"/>
      <c r="U38" s="96"/>
      <c r="V38" s="658"/>
      <c r="W38"/>
      <c r="X38">
        <v>15</v>
      </c>
      <c r="Y38" s="453" t="s">
        <v>642</v>
      </c>
      <c r="Z38">
        <v>25</v>
      </c>
      <c r="AA38" s="453" t="s">
        <v>643</v>
      </c>
      <c r="AB38">
        <v>40</v>
      </c>
      <c r="AC38">
        <v>50</v>
      </c>
      <c r="AD38" s="228" t="s">
        <v>295</v>
      </c>
      <c r="AE38">
        <v>80</v>
      </c>
      <c r="AF38">
        <v>100</v>
      </c>
      <c r="AG38" s="228" t="s">
        <v>296</v>
      </c>
      <c r="AH38">
        <v>150</v>
      </c>
      <c r="AI38">
        <v>200</v>
      </c>
      <c r="AJ38">
        <v>250</v>
      </c>
      <c r="AK38">
        <v>300</v>
      </c>
      <c r="AL38">
        <v>350</v>
      </c>
      <c r="AM38" s="2">
        <v>400</v>
      </c>
      <c r="AN38" s="2">
        <v>450</v>
      </c>
      <c r="AO38" s="2">
        <v>500</v>
      </c>
      <c r="AP38" s="2">
        <v>600</v>
      </c>
      <c r="AQ38" s="89"/>
    </row>
    <row r="39" spans="1:43" ht="13.15" customHeight="1" x14ac:dyDescent="0.2">
      <c r="A39" s="26" t="s">
        <v>317</v>
      </c>
      <c r="B39" s="454"/>
      <c r="C39" s="29">
        <v>25</v>
      </c>
      <c r="D39" s="25">
        <v>100</v>
      </c>
      <c r="E39" s="561" t="s">
        <v>384</v>
      </c>
      <c r="F39" s="562"/>
      <c r="G39" s="562"/>
      <c r="H39" s="562"/>
      <c r="I39" s="562"/>
      <c r="J39" s="563"/>
      <c r="K39" s="564" t="s">
        <v>323</v>
      </c>
      <c r="L39" s="562"/>
      <c r="M39" s="562"/>
      <c r="N39" s="563"/>
      <c r="O39" s="97" t="s">
        <v>236</v>
      </c>
      <c r="P39" s="97" t="s">
        <v>246</v>
      </c>
      <c r="Q39" s="565" t="s">
        <v>306</v>
      </c>
      <c r="R39" s="566"/>
      <c r="S39" s="688" t="s">
        <v>357</v>
      </c>
      <c r="T39" s="689"/>
      <c r="U39" s="690"/>
      <c r="V39" s="21"/>
      <c r="W39" s="61"/>
      <c r="X39" s="659" t="s">
        <v>275</v>
      </c>
      <c r="Y39" s="660"/>
      <c r="Z39" s="660"/>
      <c r="AA39" s="660"/>
      <c r="AB39" s="660"/>
      <c r="AC39" s="660"/>
      <c r="AD39" s="660"/>
      <c r="AE39" s="660"/>
      <c r="AF39" s="660"/>
      <c r="AG39" s="660"/>
      <c r="AH39" s="660"/>
      <c r="AI39" s="660"/>
      <c r="AJ39" s="660"/>
      <c r="AK39" s="660"/>
      <c r="AL39" s="660"/>
      <c r="AM39" s="660"/>
      <c r="AN39" s="660"/>
      <c r="AO39" s="660"/>
      <c r="AP39" s="660"/>
      <c r="AQ39" s="89"/>
    </row>
    <row r="40" spans="1:43" ht="13.15" customHeight="1" x14ac:dyDescent="0.2">
      <c r="A40" s="19"/>
      <c r="B40" s="60"/>
      <c r="C40" s="24">
        <v>125</v>
      </c>
      <c r="D40" s="23">
        <v>400</v>
      </c>
      <c r="E40" s="583" t="s">
        <v>384</v>
      </c>
      <c r="F40" s="549"/>
      <c r="G40" s="549"/>
      <c r="H40" s="549"/>
      <c r="I40" s="549"/>
      <c r="J40" s="550"/>
      <c r="K40" s="584" t="s">
        <v>323</v>
      </c>
      <c r="L40" s="549"/>
      <c r="M40" s="549"/>
      <c r="N40" s="550"/>
      <c r="O40" s="98" t="s">
        <v>236</v>
      </c>
      <c r="P40" s="98" t="s">
        <v>246</v>
      </c>
      <c r="Q40" s="585" t="s">
        <v>307</v>
      </c>
      <c r="R40" s="545"/>
      <c r="S40" s="691"/>
      <c r="T40" s="692"/>
      <c r="U40" s="693"/>
      <c r="V40" s="21"/>
      <c r="W40" s="61"/>
      <c r="AQ40" s="89"/>
    </row>
    <row r="41" spans="1:43" ht="13.15" customHeight="1" x14ac:dyDescent="0.2">
      <c r="A41" s="20"/>
      <c r="B41" s="424"/>
      <c r="C41" s="28"/>
      <c r="D41" s="27"/>
      <c r="E41" s="320"/>
      <c r="F41" s="124"/>
      <c r="G41" s="124"/>
      <c r="H41" s="124"/>
      <c r="I41" s="124"/>
      <c r="J41" s="354"/>
      <c r="K41" s="321"/>
      <c r="L41" s="124"/>
      <c r="M41" s="124"/>
      <c r="N41" s="354"/>
      <c r="O41" s="110"/>
      <c r="P41" s="99"/>
      <c r="Q41" s="80"/>
      <c r="R41" s="80"/>
      <c r="S41" s="94"/>
      <c r="T41" s="95"/>
      <c r="U41" s="96"/>
      <c r="V41" s="263"/>
      <c r="X41" s="61" t="s">
        <v>683</v>
      </c>
      <c r="AK41"/>
      <c r="AL41"/>
      <c r="AM41" s="2"/>
      <c r="AN41" s="2"/>
      <c r="AO41" s="2"/>
      <c r="AP41" s="2"/>
      <c r="AQ41" s="89"/>
    </row>
    <row r="42" spans="1:43" ht="13.15" customHeight="1" x14ac:dyDescent="0.2">
      <c r="A42" s="19" t="s">
        <v>215</v>
      </c>
      <c r="B42" s="60"/>
      <c r="C42" s="24">
        <v>15</v>
      </c>
      <c r="D42" s="24">
        <v>400</v>
      </c>
      <c r="E42" s="561" t="s">
        <v>247</v>
      </c>
      <c r="F42" s="562"/>
      <c r="G42" s="562"/>
      <c r="H42" s="562"/>
      <c r="I42" s="562"/>
      <c r="J42" s="563"/>
      <c r="K42" s="564" t="s">
        <v>536</v>
      </c>
      <c r="L42" s="562"/>
      <c r="M42" s="562"/>
      <c r="N42" s="563"/>
      <c r="O42" s="97" t="s">
        <v>236</v>
      </c>
      <c r="P42" s="97" t="s">
        <v>246</v>
      </c>
      <c r="Q42" s="565" t="s">
        <v>306</v>
      </c>
      <c r="R42" s="566"/>
      <c r="S42" s="109"/>
      <c r="T42" s="91"/>
      <c r="U42" s="92"/>
      <c r="V42" s="290"/>
      <c r="X42" s="61" t="s">
        <v>681</v>
      </c>
      <c r="AK42"/>
      <c r="AL42"/>
      <c r="AM42"/>
      <c r="AN42"/>
      <c r="AO42"/>
      <c r="AP42"/>
      <c r="AQ42" s="89"/>
    </row>
    <row r="43" spans="1:43" ht="13.15" customHeight="1" x14ac:dyDescent="0.2">
      <c r="A43" s="19"/>
      <c r="B43" s="60"/>
      <c r="C43" s="24"/>
      <c r="D43" s="24"/>
      <c r="E43" s="155"/>
      <c r="F43" s="160"/>
      <c r="G43" s="160"/>
      <c r="H43" s="160"/>
      <c r="I43" s="160"/>
      <c r="J43" s="181"/>
      <c r="K43" s="182"/>
      <c r="L43" s="160"/>
      <c r="M43" s="160"/>
      <c r="N43" s="181"/>
      <c r="O43" s="98"/>
      <c r="P43" s="98"/>
      <c r="Q43" s="347"/>
      <c r="R43" s="161"/>
      <c r="S43" s="88"/>
      <c r="U43" s="89"/>
      <c r="V43" s="263"/>
      <c r="X43" s="61" t="s">
        <v>520</v>
      </c>
      <c r="AK43" s="2"/>
      <c r="AL43" s="2"/>
      <c r="AM43" s="2"/>
      <c r="AN43" s="2"/>
      <c r="AQ43" s="89"/>
    </row>
    <row r="44" spans="1:43" ht="13.15" customHeight="1" x14ac:dyDescent="0.2">
      <c r="A44" s="20"/>
      <c r="B44" s="424"/>
      <c r="C44" s="28"/>
      <c r="D44" s="28"/>
      <c r="E44" s="320"/>
      <c r="F44" s="124"/>
      <c r="G44" s="124"/>
      <c r="H44" s="124"/>
      <c r="I44" s="124"/>
      <c r="J44" s="354"/>
      <c r="K44" s="321"/>
      <c r="L44" s="124"/>
      <c r="M44" s="124"/>
      <c r="N44" s="354"/>
      <c r="O44" s="110"/>
      <c r="P44" s="110"/>
      <c r="Q44" s="80"/>
      <c r="R44" s="80"/>
      <c r="S44" s="94"/>
      <c r="T44" s="95"/>
      <c r="U44" s="96"/>
      <c r="V44" s="290"/>
      <c r="W44" s="2"/>
      <c r="X44" s="61" t="s">
        <v>522</v>
      </c>
      <c r="AQ44" s="89"/>
    </row>
    <row r="45" spans="1:43" ht="13.15" customHeight="1" x14ac:dyDescent="0.2">
      <c r="A45" s="19" t="s">
        <v>214</v>
      </c>
      <c r="B45" s="60"/>
      <c r="C45" s="24">
        <v>15</v>
      </c>
      <c r="D45" s="24">
        <v>400</v>
      </c>
      <c r="E45" s="561" t="s">
        <v>481</v>
      </c>
      <c r="F45" s="562"/>
      <c r="G45" s="562"/>
      <c r="H45" s="562"/>
      <c r="I45" s="562"/>
      <c r="J45" s="563"/>
      <c r="K45" s="564" t="s">
        <v>318</v>
      </c>
      <c r="L45" s="562"/>
      <c r="M45" s="562"/>
      <c r="N45" s="563"/>
      <c r="O45" s="97" t="s">
        <v>341</v>
      </c>
      <c r="P45" s="97" t="s">
        <v>363</v>
      </c>
      <c r="Q45" s="565" t="s">
        <v>309</v>
      </c>
      <c r="R45" s="566"/>
      <c r="S45" s="109"/>
      <c r="T45" s="91"/>
      <c r="U45" s="92"/>
      <c r="V45" s="290"/>
      <c r="W45"/>
      <c r="X45" s="61"/>
      <c r="AQ45" s="89"/>
    </row>
    <row r="46" spans="1:43" ht="13.15" customHeight="1" x14ac:dyDescent="0.2">
      <c r="A46" s="19"/>
      <c r="B46" s="60"/>
      <c r="C46" s="24"/>
      <c r="D46" s="23"/>
      <c r="E46" s="155"/>
      <c r="F46" s="160"/>
      <c r="G46" s="160"/>
      <c r="H46" s="160"/>
      <c r="I46" s="160"/>
      <c r="J46" s="181"/>
      <c r="K46" s="182"/>
      <c r="L46" s="160"/>
      <c r="M46" s="160"/>
      <c r="N46" s="181"/>
      <c r="O46" s="98"/>
      <c r="P46" s="98"/>
      <c r="Q46" s="347"/>
      <c r="R46" s="161"/>
      <c r="S46" s="88"/>
      <c r="U46" s="89"/>
      <c r="V46" s="290"/>
      <c r="W46"/>
      <c r="X46" s="61"/>
      <c r="AQ46" s="89"/>
    </row>
    <row r="47" spans="1:43" ht="13.15" customHeight="1" x14ac:dyDescent="0.2">
      <c r="A47" s="19"/>
      <c r="B47" s="60"/>
      <c r="C47" s="28"/>
      <c r="D47" s="27"/>
      <c r="E47" s="320"/>
      <c r="F47" s="124"/>
      <c r="G47" s="124"/>
      <c r="H47" s="124"/>
      <c r="I47" s="124"/>
      <c r="J47" s="354"/>
      <c r="K47" s="321"/>
      <c r="L47" s="124"/>
      <c r="M47" s="124"/>
      <c r="N47" s="354"/>
      <c r="O47" s="110"/>
      <c r="P47" s="110"/>
      <c r="Q47" s="80"/>
      <c r="R47" s="80"/>
      <c r="S47" s="94"/>
      <c r="T47" s="95"/>
      <c r="U47" s="96"/>
      <c r="V47" s="21"/>
      <c r="W47"/>
      <c r="AQ47" s="89"/>
    </row>
    <row r="48" spans="1:43" ht="13.15" customHeight="1" x14ac:dyDescent="0.2">
      <c r="A48" s="26" t="s">
        <v>213</v>
      </c>
      <c r="B48" s="435"/>
      <c r="C48" s="24">
        <v>15</v>
      </c>
      <c r="D48" s="24">
        <v>400</v>
      </c>
      <c r="E48" s="561" t="s">
        <v>482</v>
      </c>
      <c r="F48" s="562"/>
      <c r="G48" s="562"/>
      <c r="H48" s="562"/>
      <c r="I48" s="562"/>
      <c r="J48" s="563"/>
      <c r="K48" s="564" t="s">
        <v>319</v>
      </c>
      <c r="L48" s="562"/>
      <c r="M48" s="562"/>
      <c r="N48" s="563"/>
      <c r="O48" s="97" t="s">
        <v>341</v>
      </c>
      <c r="P48" s="97" t="s">
        <v>248</v>
      </c>
      <c r="Q48" s="565" t="s">
        <v>309</v>
      </c>
      <c r="R48" s="566"/>
      <c r="S48" s="109"/>
      <c r="T48" s="91"/>
      <c r="U48" s="92"/>
      <c r="V48" s="21"/>
      <c r="W48" s="228"/>
      <c r="X48" s="338"/>
      <c r="Y48"/>
      <c r="Z48"/>
      <c r="AQ48" s="89"/>
    </row>
    <row r="49" spans="1:43" ht="13.15" customHeight="1" x14ac:dyDescent="0.2">
      <c r="A49" s="19"/>
      <c r="B49" s="60"/>
      <c r="C49" s="24"/>
      <c r="D49" s="24"/>
      <c r="E49" s="155"/>
      <c r="F49" s="160"/>
      <c r="G49" s="160"/>
      <c r="H49" s="160"/>
      <c r="I49" s="160"/>
      <c r="J49" s="181"/>
      <c r="K49" s="182"/>
      <c r="L49" s="160"/>
      <c r="M49" s="160"/>
      <c r="N49" s="160"/>
      <c r="O49" s="98"/>
      <c r="P49" s="98"/>
      <c r="Q49" s="347"/>
      <c r="R49" s="161"/>
      <c r="S49" s="88"/>
      <c r="U49" s="89"/>
      <c r="V49" s="21"/>
      <c r="AQ49" s="89"/>
    </row>
    <row r="50" spans="1:43" ht="13.15" customHeight="1" x14ac:dyDescent="0.2">
      <c r="A50" s="20"/>
      <c r="B50" s="424"/>
      <c r="C50" s="28"/>
      <c r="D50" s="28"/>
      <c r="E50" s="320"/>
      <c r="F50" s="124"/>
      <c r="G50" s="124"/>
      <c r="H50" s="124"/>
      <c r="I50" s="124"/>
      <c r="J50" s="354"/>
      <c r="K50" s="321"/>
      <c r="L50" s="124"/>
      <c r="M50" s="124"/>
      <c r="N50" s="124"/>
      <c r="O50" s="110"/>
      <c r="P50" s="110"/>
      <c r="Q50" s="80"/>
      <c r="R50" s="80"/>
      <c r="S50" s="94"/>
      <c r="T50" s="95"/>
      <c r="U50" s="96"/>
      <c r="V50" s="21"/>
      <c r="Y50"/>
      <c r="Z50"/>
      <c r="AA50"/>
      <c r="AB50"/>
      <c r="AC50"/>
      <c r="AD50"/>
      <c r="AE50"/>
      <c r="AQ50" s="89"/>
    </row>
    <row r="51" spans="1:43" ht="13.15" customHeight="1" x14ac:dyDescent="0.2">
      <c r="A51" s="19" t="s">
        <v>264</v>
      </c>
      <c r="B51" s="60"/>
      <c r="C51" s="24" t="s">
        <v>313</v>
      </c>
      <c r="D51" s="24" t="s">
        <v>388</v>
      </c>
      <c r="E51" s="561" t="s">
        <v>310</v>
      </c>
      <c r="F51" s="562"/>
      <c r="G51" s="562"/>
      <c r="H51" s="562"/>
      <c r="I51" s="562"/>
      <c r="J51" s="563"/>
      <c r="K51" s="564" t="s">
        <v>655</v>
      </c>
      <c r="L51" s="562"/>
      <c r="M51" s="562"/>
      <c r="N51" s="563"/>
      <c r="O51" s="97" t="s">
        <v>341</v>
      </c>
      <c r="P51" s="97" t="s">
        <v>257</v>
      </c>
      <c r="Q51" s="565" t="s">
        <v>311</v>
      </c>
      <c r="R51" s="566"/>
      <c r="S51" s="109"/>
      <c r="T51" s="91"/>
      <c r="U51" s="92"/>
      <c r="V51" s="21"/>
      <c r="X51" s="2"/>
      <c r="AQ51" s="89"/>
    </row>
    <row r="52" spans="1:43" ht="13.15" customHeight="1" x14ac:dyDescent="0.2">
      <c r="A52" s="20"/>
      <c r="B52" s="424"/>
      <c r="C52" s="28"/>
      <c r="D52" s="28"/>
      <c r="E52" s="320"/>
      <c r="F52" s="349"/>
      <c r="G52" s="349"/>
      <c r="H52" s="349"/>
      <c r="I52" s="349"/>
      <c r="J52" s="350"/>
      <c r="K52" s="321"/>
      <c r="L52" s="349"/>
      <c r="M52" s="349"/>
      <c r="N52" s="350"/>
      <c r="O52" s="146"/>
      <c r="P52" s="146"/>
      <c r="Q52" s="351"/>
      <c r="R52" s="352"/>
      <c r="S52" s="88"/>
      <c r="U52" s="89"/>
      <c r="V52" s="21"/>
      <c r="AQ52" s="89"/>
    </row>
    <row r="53" spans="1:43" ht="13.15" customHeight="1" x14ac:dyDescent="0.2">
      <c r="A53" s="19" t="s">
        <v>212</v>
      </c>
      <c r="B53" s="60"/>
      <c r="C53" s="24" t="s">
        <v>313</v>
      </c>
      <c r="D53" s="24" t="s">
        <v>388</v>
      </c>
      <c r="E53" s="561" t="s">
        <v>315</v>
      </c>
      <c r="F53" s="562"/>
      <c r="G53" s="562"/>
      <c r="H53" s="562"/>
      <c r="I53" s="562"/>
      <c r="J53" s="563"/>
      <c r="K53" s="564" t="s">
        <v>655</v>
      </c>
      <c r="L53" s="562"/>
      <c r="M53" s="562"/>
      <c r="N53" s="563"/>
      <c r="O53" s="97" t="s">
        <v>341</v>
      </c>
      <c r="P53" s="97" t="s">
        <v>257</v>
      </c>
      <c r="Q53" s="565" t="s">
        <v>316</v>
      </c>
      <c r="R53" s="566"/>
      <c r="S53" s="109"/>
      <c r="T53" s="91"/>
      <c r="U53" s="92"/>
      <c r="V53" s="21"/>
      <c r="AQ53" s="89"/>
    </row>
    <row r="54" spans="1:43" ht="13.15" customHeight="1" x14ac:dyDescent="0.2">
      <c r="A54" s="20"/>
      <c r="B54" s="424"/>
      <c r="C54" s="24"/>
      <c r="D54" s="27"/>
      <c r="E54" s="583"/>
      <c r="F54" s="778"/>
      <c r="G54" s="778"/>
      <c r="H54" s="778"/>
      <c r="I54" s="778"/>
      <c r="J54" s="779"/>
      <c r="K54" s="182"/>
      <c r="L54" s="432"/>
      <c r="M54" s="485"/>
      <c r="N54" s="486"/>
      <c r="O54" s="98"/>
      <c r="P54" s="98"/>
      <c r="Q54" s="585"/>
      <c r="R54" s="780"/>
      <c r="S54" s="93"/>
      <c r="U54" s="89"/>
      <c r="V54" s="21"/>
      <c r="W54" s="310"/>
      <c r="X54" s="310"/>
      <c r="Y54" s="311"/>
      <c r="Z54" s="311"/>
      <c r="AA54" s="311"/>
      <c r="AB54" s="311"/>
      <c r="AC54" s="311"/>
      <c r="AD54" s="311"/>
      <c r="AE54" s="310"/>
      <c r="AF54" s="311"/>
      <c r="AG54" s="311"/>
      <c r="AH54" s="311"/>
      <c r="AI54" s="310"/>
      <c r="AJ54" s="310"/>
      <c r="AK54" s="310"/>
      <c r="AL54" s="311"/>
      <c r="AM54" s="310"/>
      <c r="AN54" s="161"/>
      <c r="AO54" s="161"/>
      <c r="AP54" s="311"/>
      <c r="AQ54" s="89"/>
    </row>
    <row r="55" spans="1:43" ht="13.15" customHeight="1" x14ac:dyDescent="0.2">
      <c r="A55" s="19" t="s">
        <v>211</v>
      </c>
      <c r="B55" s="60"/>
      <c r="C55" s="29">
        <v>15</v>
      </c>
      <c r="D55" s="25">
        <v>400</v>
      </c>
      <c r="E55" s="561" t="s">
        <v>273</v>
      </c>
      <c r="F55" s="728"/>
      <c r="G55" s="728"/>
      <c r="H55" s="728"/>
      <c r="I55" s="728"/>
      <c r="J55" s="729"/>
      <c r="K55" s="564" t="s">
        <v>667</v>
      </c>
      <c r="L55" s="562"/>
      <c r="M55" s="730" t="s">
        <v>272</v>
      </c>
      <c r="N55" s="563"/>
      <c r="O55" s="97" t="s">
        <v>341</v>
      </c>
      <c r="P55" s="97"/>
      <c r="Q55" s="565" t="s">
        <v>312</v>
      </c>
      <c r="R55" s="566"/>
      <c r="S55" s="109" t="s">
        <v>666</v>
      </c>
      <c r="T55" s="91"/>
      <c r="U55" s="92"/>
      <c r="V55" s="21"/>
      <c r="W55" s="624" t="s">
        <v>259</v>
      </c>
      <c r="X55" s="551" t="s">
        <v>197</v>
      </c>
      <c r="Y55" s="552"/>
      <c r="Z55" s="552"/>
      <c r="AA55" s="552"/>
      <c r="AB55" s="552"/>
      <c r="AC55" s="552"/>
      <c r="AD55" s="553"/>
      <c r="AE55" s="557" t="s">
        <v>241</v>
      </c>
      <c r="AF55" s="552"/>
      <c r="AG55" s="552"/>
      <c r="AH55" s="553"/>
      <c r="AI55" s="559" t="s">
        <v>243</v>
      </c>
      <c r="AJ55" s="559" t="s">
        <v>242</v>
      </c>
      <c r="AK55" s="557" t="s">
        <v>244</v>
      </c>
      <c r="AL55" s="553"/>
      <c r="AM55" s="557" t="s">
        <v>245</v>
      </c>
      <c r="AN55" s="626"/>
      <c r="AO55" s="626"/>
      <c r="AP55" s="627"/>
      <c r="AQ55" s="89"/>
    </row>
    <row r="56" spans="1:43" ht="13.15" customHeight="1" x14ac:dyDescent="0.2">
      <c r="A56" s="19"/>
      <c r="B56" s="60"/>
      <c r="C56" s="24">
        <v>15</v>
      </c>
      <c r="D56" s="24">
        <v>400</v>
      </c>
      <c r="E56" s="583" t="s">
        <v>251</v>
      </c>
      <c r="F56" s="778"/>
      <c r="G56" s="778"/>
      <c r="H56" s="778"/>
      <c r="I56" s="778"/>
      <c r="J56" s="779"/>
      <c r="K56" s="584" t="s">
        <v>665</v>
      </c>
      <c r="L56" s="549"/>
      <c r="M56" s="731" t="s">
        <v>747</v>
      </c>
      <c r="N56" s="550"/>
      <c r="O56" s="98" t="s">
        <v>341</v>
      </c>
      <c r="P56" s="98"/>
      <c r="Q56" s="585" t="s">
        <v>312</v>
      </c>
      <c r="R56" s="780"/>
      <c r="S56" s="822" t="s">
        <v>664</v>
      </c>
      <c r="T56" s="547"/>
      <c r="U56" s="823"/>
      <c r="V56" s="21"/>
      <c r="W56" s="625"/>
      <c r="X56" s="554"/>
      <c r="Y56" s="555"/>
      <c r="Z56" s="555"/>
      <c r="AA56" s="555"/>
      <c r="AB56" s="555"/>
      <c r="AC56" s="555"/>
      <c r="AD56" s="556"/>
      <c r="AE56" s="558"/>
      <c r="AF56" s="555"/>
      <c r="AG56" s="555"/>
      <c r="AH56" s="556"/>
      <c r="AI56" s="560"/>
      <c r="AJ56" s="560"/>
      <c r="AK56" s="558"/>
      <c r="AL56" s="556"/>
      <c r="AM56" s="628"/>
      <c r="AN56" s="586"/>
      <c r="AO56" s="586"/>
      <c r="AP56" s="629"/>
      <c r="AQ56" s="89"/>
    </row>
    <row r="57" spans="1:43" ht="13.15" customHeight="1" x14ac:dyDescent="0.2">
      <c r="A57" s="19"/>
      <c r="B57" s="60"/>
      <c r="C57" s="24">
        <v>15</v>
      </c>
      <c r="D57" s="23">
        <v>400</v>
      </c>
      <c r="E57" s="155" t="s">
        <v>263</v>
      </c>
      <c r="F57" s="160"/>
      <c r="G57" s="160"/>
      <c r="H57" s="160"/>
      <c r="I57" s="160"/>
      <c r="J57" s="181"/>
      <c r="K57" s="517" t="s">
        <v>724</v>
      </c>
      <c r="L57" s="160"/>
      <c r="M57" s="518" t="s">
        <v>748</v>
      </c>
      <c r="N57" s="519"/>
      <c r="O57" s="98" t="s">
        <v>341</v>
      </c>
      <c r="P57" s="98"/>
      <c r="Q57" s="718" t="s">
        <v>339</v>
      </c>
      <c r="R57" s="719"/>
      <c r="S57" s="93" t="s">
        <v>669</v>
      </c>
      <c r="T57" s="515"/>
      <c r="U57" s="510"/>
      <c r="V57" s="21"/>
      <c r="W57" s="127" t="s">
        <v>390</v>
      </c>
      <c r="X57" s="630" t="s">
        <v>349</v>
      </c>
      <c r="Y57" s="552"/>
      <c r="Z57" s="552"/>
      <c r="AA57" s="552"/>
      <c r="AB57" s="552"/>
      <c r="AC57" s="552"/>
      <c r="AD57" s="553"/>
      <c r="AE57" s="572">
        <v>1.0345</v>
      </c>
      <c r="AF57" s="573"/>
      <c r="AG57" s="573"/>
      <c r="AH57" s="574"/>
      <c r="AI57" s="125" t="s">
        <v>236</v>
      </c>
      <c r="AJ57" s="125" t="s">
        <v>246</v>
      </c>
      <c r="AK57" s="575" t="s">
        <v>348</v>
      </c>
      <c r="AL57" s="576"/>
      <c r="AM57" s="90"/>
      <c r="AN57" s="91"/>
      <c r="AO57" s="91"/>
      <c r="AP57" s="129"/>
      <c r="AQ57" s="89"/>
    </row>
    <row r="58" spans="1:43" ht="13.15" customHeight="1" x14ac:dyDescent="0.2">
      <c r="A58" s="375" t="s">
        <v>547</v>
      </c>
      <c r="B58" s="462"/>
      <c r="C58" s="376"/>
      <c r="D58" s="376"/>
      <c r="E58" s="587"/>
      <c r="F58" s="588"/>
      <c r="G58" s="588"/>
      <c r="H58" s="588"/>
      <c r="I58" s="588"/>
      <c r="J58" s="589"/>
      <c r="K58" s="590"/>
      <c r="L58" s="588"/>
      <c r="M58" s="588"/>
      <c r="N58" s="589"/>
      <c r="O58" s="377" t="s">
        <v>341</v>
      </c>
      <c r="P58" s="377"/>
      <c r="Q58" s="591" t="s">
        <v>549</v>
      </c>
      <c r="R58" s="592"/>
      <c r="S58" s="378"/>
      <c r="T58" s="379"/>
      <c r="U58" s="380"/>
      <c r="V58" s="21"/>
      <c r="W58" s="128" t="s">
        <v>391</v>
      </c>
      <c r="X58" s="546" t="s">
        <v>350</v>
      </c>
      <c r="Y58" s="547"/>
      <c r="Z58" s="547"/>
      <c r="AA58" s="547"/>
      <c r="AB58" s="547"/>
      <c r="AC58" s="547"/>
      <c r="AD58" s="548"/>
      <c r="AE58" s="541">
        <v>1.0345</v>
      </c>
      <c r="AF58" s="542"/>
      <c r="AG58" s="542"/>
      <c r="AH58" s="543"/>
      <c r="AI58" s="126" t="s">
        <v>236</v>
      </c>
      <c r="AJ58" s="126" t="s">
        <v>246</v>
      </c>
      <c r="AK58" s="544" t="s">
        <v>348</v>
      </c>
      <c r="AL58" s="545"/>
      <c r="AM58" s="88"/>
      <c r="AP58" s="130"/>
      <c r="AQ58" s="89"/>
    </row>
    <row r="59" spans="1:43" ht="13.15" customHeight="1" x14ac:dyDescent="0.2">
      <c r="A59" s="26" t="s">
        <v>278</v>
      </c>
      <c r="B59" s="60"/>
      <c r="C59" s="24" t="s">
        <v>210</v>
      </c>
      <c r="D59" s="25">
        <v>50</v>
      </c>
      <c r="E59" s="561" t="s">
        <v>507</v>
      </c>
      <c r="F59" s="595"/>
      <c r="G59" s="595"/>
      <c r="H59" s="595"/>
      <c r="I59" s="595"/>
      <c r="J59" s="596"/>
      <c r="K59" s="597" t="s">
        <v>450</v>
      </c>
      <c r="L59" s="598"/>
      <c r="M59" s="598"/>
      <c r="N59" s="599"/>
      <c r="O59" s="97" t="s">
        <v>341</v>
      </c>
      <c r="P59" s="97" t="s">
        <v>283</v>
      </c>
      <c r="Q59" s="565" t="s">
        <v>266</v>
      </c>
      <c r="R59" s="566"/>
      <c r="S59" s="90"/>
      <c r="T59" s="91"/>
      <c r="U59" s="92"/>
      <c r="V59" s="21"/>
      <c r="W59" s="128" t="s">
        <v>345</v>
      </c>
      <c r="X59" s="546" t="s">
        <v>431</v>
      </c>
      <c r="Y59" s="547"/>
      <c r="Z59" s="547"/>
      <c r="AA59" s="547"/>
      <c r="AB59" s="547"/>
      <c r="AC59" s="547"/>
      <c r="AD59" s="548"/>
      <c r="AE59" s="541" t="s">
        <v>408</v>
      </c>
      <c r="AF59" s="542"/>
      <c r="AG59" s="542"/>
      <c r="AH59" s="543"/>
      <c r="AI59" s="126" t="s">
        <v>236</v>
      </c>
      <c r="AJ59" s="126" t="s">
        <v>328</v>
      </c>
      <c r="AK59" s="544" t="s">
        <v>347</v>
      </c>
      <c r="AL59" s="545"/>
      <c r="AM59" s="88"/>
      <c r="AP59" s="130"/>
      <c r="AQ59" s="89"/>
    </row>
    <row r="60" spans="1:43" ht="13.15" customHeight="1" x14ac:dyDescent="0.2">
      <c r="A60" s="178" t="s">
        <v>279</v>
      </c>
      <c r="B60" s="374"/>
      <c r="C60" s="24">
        <v>80</v>
      </c>
      <c r="D60" s="23">
        <v>400</v>
      </c>
      <c r="E60" s="583" t="s">
        <v>508</v>
      </c>
      <c r="F60" s="600"/>
      <c r="G60" s="600"/>
      <c r="H60" s="600"/>
      <c r="I60" s="600"/>
      <c r="J60" s="601"/>
      <c r="K60" s="616" t="s">
        <v>450</v>
      </c>
      <c r="L60" s="617"/>
      <c r="M60" s="617"/>
      <c r="N60" s="618"/>
      <c r="O60" s="98" t="s">
        <v>341</v>
      </c>
      <c r="P60" s="98" t="s">
        <v>283</v>
      </c>
      <c r="Q60" s="585" t="s">
        <v>266</v>
      </c>
      <c r="R60" s="615"/>
      <c r="S60" s="88"/>
      <c r="U60" s="89"/>
      <c r="V60" s="21"/>
      <c r="W60" s="128" t="s">
        <v>346</v>
      </c>
      <c r="X60" s="546" t="s">
        <v>432</v>
      </c>
      <c r="Y60" s="547"/>
      <c r="Z60" s="547"/>
      <c r="AA60" s="547"/>
      <c r="AB60" s="547"/>
      <c r="AC60" s="547"/>
      <c r="AD60" s="548"/>
      <c r="AE60" s="541" t="s">
        <v>408</v>
      </c>
      <c r="AF60" s="542"/>
      <c r="AG60" s="542"/>
      <c r="AH60" s="543"/>
      <c r="AI60" s="126" t="s">
        <v>236</v>
      </c>
      <c r="AJ60" s="126" t="s">
        <v>328</v>
      </c>
      <c r="AK60" s="544" t="s">
        <v>347</v>
      </c>
      <c r="AL60" s="545"/>
      <c r="AM60" s="329" t="s">
        <v>631</v>
      </c>
      <c r="AP60" s="130"/>
      <c r="AQ60" s="89"/>
    </row>
    <row r="61" spans="1:43" ht="13.15" customHeight="1" x14ac:dyDescent="0.2">
      <c r="A61" s="178" t="s">
        <v>280</v>
      </c>
      <c r="B61" s="374"/>
      <c r="C61" s="24">
        <v>500</v>
      </c>
      <c r="D61" s="23" t="s">
        <v>277</v>
      </c>
      <c r="E61" s="619" t="s">
        <v>509</v>
      </c>
      <c r="F61" s="620"/>
      <c r="G61" s="620"/>
      <c r="H61" s="620"/>
      <c r="I61" s="620"/>
      <c r="J61" s="621"/>
      <c r="K61" s="567" t="s">
        <v>450</v>
      </c>
      <c r="L61" s="568"/>
      <c r="M61" s="568"/>
      <c r="N61" s="569"/>
      <c r="O61" s="156" t="s">
        <v>341</v>
      </c>
      <c r="P61" s="156" t="s">
        <v>283</v>
      </c>
      <c r="Q61" s="570" t="s">
        <v>266</v>
      </c>
      <c r="R61" s="571"/>
      <c r="S61" s="88"/>
      <c r="U61" s="89"/>
      <c r="V61" s="21"/>
      <c r="W61" s="128" t="s">
        <v>328</v>
      </c>
      <c r="X61" s="546" t="s">
        <v>395</v>
      </c>
      <c r="Y61" s="547"/>
      <c r="Z61" s="547"/>
      <c r="AA61" s="547"/>
      <c r="AB61" s="547"/>
      <c r="AC61" s="547"/>
      <c r="AD61" s="548"/>
      <c r="AE61" s="541" t="s">
        <v>417</v>
      </c>
      <c r="AF61" s="542"/>
      <c r="AG61" s="542"/>
      <c r="AH61" s="543"/>
      <c r="AI61" s="126" t="s">
        <v>236</v>
      </c>
      <c r="AJ61" s="126" t="s">
        <v>328</v>
      </c>
      <c r="AK61" s="544" t="s">
        <v>347</v>
      </c>
      <c r="AL61" s="545"/>
      <c r="AM61" s="329" t="s">
        <v>631</v>
      </c>
      <c r="AP61" s="130"/>
      <c r="AQ61" s="89"/>
    </row>
    <row r="62" spans="1:43" ht="13.15" customHeight="1" x14ac:dyDescent="0.2">
      <c r="A62" s="178" t="s">
        <v>281</v>
      </c>
      <c r="B62" s="374"/>
      <c r="C62" s="24"/>
      <c r="D62" s="23"/>
      <c r="E62" s="155"/>
      <c r="F62" s="80"/>
      <c r="G62" s="80"/>
      <c r="H62" s="80"/>
      <c r="I62" s="80"/>
      <c r="J62" s="80"/>
      <c r="K62" s="80"/>
      <c r="L62" s="80"/>
      <c r="M62" s="80"/>
      <c r="N62" s="80"/>
      <c r="O62" s="80"/>
      <c r="P62" s="80"/>
      <c r="Q62" s="80"/>
      <c r="R62" s="80"/>
      <c r="S62" s="88"/>
      <c r="U62" s="89"/>
      <c r="V62" s="21"/>
      <c r="W62" s="128"/>
      <c r="X62" s="260"/>
      <c r="Y62" s="160"/>
      <c r="Z62" s="160"/>
      <c r="AA62" s="160"/>
      <c r="AB62" s="160"/>
      <c r="AE62" s="541"/>
      <c r="AF62" s="542"/>
      <c r="AG62" s="542"/>
      <c r="AH62" s="543"/>
      <c r="AI62" s="126"/>
      <c r="AJ62" s="126"/>
      <c r="AK62" s="544"/>
      <c r="AL62" s="545"/>
      <c r="AM62" s="88"/>
      <c r="AP62" s="130"/>
      <c r="AQ62" s="89"/>
    </row>
    <row r="63" spans="1:43" ht="13.15" customHeight="1" x14ac:dyDescent="0.2">
      <c r="A63" s="178" t="s">
        <v>282</v>
      </c>
      <c r="B63" s="374"/>
      <c r="C63" s="23"/>
      <c r="D63" s="22"/>
      <c r="E63" s="155"/>
      <c r="F63" s="80"/>
      <c r="G63" s="80"/>
      <c r="H63" s="80"/>
      <c r="I63" s="80"/>
      <c r="J63" s="80"/>
      <c r="K63" s="80"/>
      <c r="L63" s="80"/>
      <c r="M63" s="80"/>
      <c r="N63" s="80"/>
      <c r="O63" s="80"/>
      <c r="P63" s="80"/>
      <c r="Q63" s="80"/>
      <c r="R63" s="80"/>
      <c r="S63" s="94"/>
      <c r="T63" s="95"/>
      <c r="U63" s="96"/>
      <c r="V63" s="21"/>
      <c r="W63" s="132"/>
      <c r="X63" s="94"/>
      <c r="Y63" s="95"/>
      <c r="Z63" s="95"/>
      <c r="AA63" s="95"/>
      <c r="AB63" s="95"/>
      <c r="AC63" s="95"/>
      <c r="AD63" s="133"/>
      <c r="AE63" s="134"/>
      <c r="AF63" s="95"/>
      <c r="AG63" s="95"/>
      <c r="AH63" s="133"/>
      <c r="AI63" s="135"/>
      <c r="AJ63" s="135"/>
      <c r="AK63" s="134"/>
      <c r="AL63" s="131"/>
      <c r="AM63" s="95"/>
      <c r="AN63" s="95"/>
      <c r="AO63" s="95"/>
      <c r="AP63" s="131"/>
      <c r="AQ63" s="89"/>
    </row>
    <row r="64" spans="1:43" ht="13.15" customHeight="1" x14ac:dyDescent="0.2">
      <c r="A64" s="741" t="s">
        <v>652</v>
      </c>
      <c r="B64" s="742"/>
      <c r="C64" s="689"/>
      <c r="D64" s="689"/>
      <c r="E64" s="689"/>
      <c r="F64" s="689"/>
      <c r="G64" s="689"/>
      <c r="H64" s="689"/>
      <c r="I64" s="689"/>
      <c r="J64" s="689"/>
      <c r="K64" s="689"/>
      <c r="L64" s="689"/>
      <c r="M64" s="689"/>
      <c r="N64" s="689"/>
      <c r="O64" s="689"/>
      <c r="P64" s="689"/>
      <c r="Q64" s="689"/>
      <c r="R64" s="743"/>
      <c r="S64" s="327" t="s">
        <v>479</v>
      </c>
      <c r="T64" s="91"/>
      <c r="U64" s="92"/>
      <c r="V64" s="21"/>
      <c r="AQ64" s="89"/>
    </row>
    <row r="65" spans="1:43" ht="13.15" customHeight="1" x14ac:dyDescent="0.2">
      <c r="A65" s="744"/>
      <c r="B65" s="692"/>
      <c r="C65" s="692"/>
      <c r="D65" s="692"/>
      <c r="E65" s="692"/>
      <c r="F65" s="692"/>
      <c r="G65" s="692"/>
      <c r="H65" s="692"/>
      <c r="I65" s="692"/>
      <c r="J65" s="692"/>
      <c r="K65" s="692"/>
      <c r="L65" s="692"/>
      <c r="M65" s="692"/>
      <c r="N65" s="692"/>
      <c r="O65" s="692"/>
      <c r="P65" s="692"/>
      <c r="Q65" s="692"/>
      <c r="R65" s="745"/>
      <c r="S65" s="93" t="s">
        <v>480</v>
      </c>
      <c r="U65" s="89"/>
      <c r="V65" s="21"/>
      <c r="AQ65" s="89"/>
    </row>
    <row r="66" spans="1:43" ht="13.15" customHeight="1" x14ac:dyDescent="0.2">
      <c r="A66" s="744"/>
      <c r="B66" s="692"/>
      <c r="C66" s="692"/>
      <c r="D66" s="692"/>
      <c r="E66" s="692"/>
      <c r="F66" s="692"/>
      <c r="G66" s="692"/>
      <c r="H66" s="692"/>
      <c r="I66" s="692"/>
      <c r="J66" s="692"/>
      <c r="K66" s="692"/>
      <c r="L66" s="692"/>
      <c r="M66" s="692"/>
      <c r="N66" s="692"/>
      <c r="O66" s="692"/>
      <c r="P66" s="692"/>
      <c r="Q66" s="692"/>
      <c r="R66" s="745"/>
      <c r="S66" s="93" t="s">
        <v>486</v>
      </c>
      <c r="U66" s="89"/>
      <c r="V66" s="21"/>
      <c r="AQ66" s="89"/>
    </row>
    <row r="67" spans="1:43" ht="13.15" customHeight="1" x14ac:dyDescent="0.2">
      <c r="A67" s="744"/>
      <c r="B67" s="692"/>
      <c r="C67" s="692"/>
      <c r="D67" s="692"/>
      <c r="E67" s="692"/>
      <c r="F67" s="692"/>
      <c r="G67" s="692"/>
      <c r="H67" s="692"/>
      <c r="I67" s="692"/>
      <c r="J67" s="692"/>
      <c r="K67" s="692"/>
      <c r="L67" s="692"/>
      <c r="M67" s="692"/>
      <c r="N67" s="692"/>
      <c r="O67" s="692"/>
      <c r="P67" s="692"/>
      <c r="Q67" s="692"/>
      <c r="R67" s="745"/>
      <c r="S67" s="93" t="s">
        <v>487</v>
      </c>
      <c r="U67" s="89"/>
      <c r="V67" s="21"/>
      <c r="AQ67" s="89"/>
    </row>
    <row r="68" spans="1:43" ht="13.15" customHeight="1" x14ac:dyDescent="0.2">
      <c r="A68" s="744"/>
      <c r="B68" s="692"/>
      <c r="C68" s="692"/>
      <c r="D68" s="692"/>
      <c r="E68" s="692"/>
      <c r="F68" s="692"/>
      <c r="G68" s="692"/>
      <c r="H68" s="692"/>
      <c r="I68" s="692"/>
      <c r="J68" s="692"/>
      <c r="K68" s="692"/>
      <c r="L68" s="692"/>
      <c r="M68" s="692"/>
      <c r="N68" s="692"/>
      <c r="O68" s="692"/>
      <c r="P68" s="692"/>
      <c r="Q68" s="692"/>
      <c r="R68" s="745"/>
      <c r="S68" s="93" t="s">
        <v>488</v>
      </c>
      <c r="U68" s="89"/>
      <c r="V68" s="21"/>
      <c r="AQ68" s="89"/>
    </row>
    <row r="69" spans="1:43" ht="13.15" customHeight="1" x14ac:dyDescent="0.2">
      <c r="A69" s="744"/>
      <c r="B69" s="692"/>
      <c r="C69" s="692"/>
      <c r="D69" s="692"/>
      <c r="E69" s="692"/>
      <c r="F69" s="692"/>
      <c r="G69" s="692"/>
      <c r="H69" s="692"/>
      <c r="I69" s="692"/>
      <c r="J69" s="692"/>
      <c r="K69" s="692"/>
      <c r="L69" s="692"/>
      <c r="M69" s="692"/>
      <c r="N69" s="692"/>
      <c r="O69" s="692"/>
      <c r="P69" s="692"/>
      <c r="Q69" s="692"/>
      <c r="R69" s="745"/>
      <c r="S69" s="60" t="s">
        <v>499</v>
      </c>
      <c r="U69" s="89"/>
      <c r="V69" s="21"/>
      <c r="AQ69" s="89"/>
    </row>
    <row r="70" spans="1:43" ht="13.15" customHeight="1" x14ac:dyDescent="0.2">
      <c r="A70" s="622" t="s">
        <v>535</v>
      </c>
      <c r="B70" s="623"/>
      <c r="C70" s="623"/>
      <c r="D70" s="623"/>
      <c r="E70" s="623"/>
      <c r="F70" s="623"/>
      <c r="G70" s="623"/>
      <c r="H70" s="623"/>
      <c r="I70" s="623"/>
      <c r="J70" s="623"/>
      <c r="K70" s="623"/>
      <c r="L70" s="623"/>
      <c r="M70" s="623"/>
      <c r="N70" s="623"/>
      <c r="O70" s="623"/>
      <c r="P70" s="623"/>
      <c r="Q70" s="623"/>
      <c r="R70" s="623"/>
      <c r="S70" s="93" t="s">
        <v>498</v>
      </c>
      <c r="U70" s="89"/>
      <c r="V70" s="21"/>
      <c r="AQ70" s="89"/>
    </row>
    <row r="71" spans="1:43" ht="13.15" customHeight="1" x14ac:dyDescent="0.2">
      <c r="A71" s="19" t="s">
        <v>260</v>
      </c>
      <c r="B71" s="435"/>
      <c r="C71" s="583" t="s">
        <v>269</v>
      </c>
      <c r="D71" s="602"/>
      <c r="E71" s="602"/>
      <c r="F71" s="602"/>
      <c r="G71" s="602"/>
      <c r="H71" s="602"/>
      <c r="I71" s="602"/>
      <c r="J71" s="602"/>
      <c r="K71" s="602"/>
      <c r="L71" s="602"/>
      <c r="M71" s="602"/>
      <c r="N71" s="602"/>
      <c r="O71" s="602"/>
      <c r="P71" s="602"/>
      <c r="Q71" s="602"/>
      <c r="R71" s="602"/>
      <c r="S71" s="93" t="s">
        <v>489</v>
      </c>
      <c r="U71" s="89"/>
      <c r="V71" s="21"/>
      <c r="AQ71" s="89"/>
    </row>
    <row r="72" spans="1:43" ht="13.15" customHeight="1" x14ac:dyDescent="0.2">
      <c r="A72" s="375" t="s">
        <v>478</v>
      </c>
      <c r="B72" s="463"/>
      <c r="C72" s="587" t="s">
        <v>269</v>
      </c>
      <c r="D72" s="609"/>
      <c r="E72" s="609"/>
      <c r="F72" s="609"/>
      <c r="G72" s="609"/>
      <c r="H72" s="609"/>
      <c r="I72" s="609"/>
      <c r="J72" s="609"/>
      <c r="K72" s="609"/>
      <c r="L72" s="609"/>
      <c r="M72" s="609"/>
      <c r="N72" s="609"/>
      <c r="O72" s="609"/>
      <c r="P72" s="609"/>
      <c r="Q72" s="609"/>
      <c r="R72" s="609"/>
      <c r="S72" s="93" t="s">
        <v>490</v>
      </c>
      <c r="U72" s="89"/>
      <c r="V72" s="21"/>
      <c r="AQ72" s="89"/>
    </row>
    <row r="73" spans="1:43" ht="13.15" customHeight="1" x14ac:dyDescent="0.2">
      <c r="A73" s="19" t="s">
        <v>372</v>
      </c>
      <c r="B73" s="60"/>
      <c r="C73" s="583" t="s">
        <v>320</v>
      </c>
      <c r="D73" s="600"/>
      <c r="E73" s="600"/>
      <c r="F73" s="600"/>
      <c r="G73" s="600"/>
      <c r="H73" s="600"/>
      <c r="I73" s="600"/>
      <c r="J73" s="600"/>
      <c r="K73" s="600"/>
      <c r="L73" s="600"/>
      <c r="M73" s="600"/>
      <c r="N73" s="600"/>
      <c r="O73" s="600"/>
      <c r="P73" s="600"/>
      <c r="Q73" s="600"/>
      <c r="R73" s="600"/>
      <c r="S73" s="93" t="s">
        <v>491</v>
      </c>
      <c r="U73" s="89"/>
      <c r="V73" s="21"/>
      <c r="AQ73" s="89"/>
    </row>
    <row r="74" spans="1:43" ht="13.15" customHeight="1" x14ac:dyDescent="0.2">
      <c r="A74" s="19" t="s">
        <v>373</v>
      </c>
      <c r="B74" s="60"/>
      <c r="C74" s="610" t="s">
        <v>626</v>
      </c>
      <c r="D74" s="611"/>
      <c r="E74" s="611"/>
      <c r="F74" s="611"/>
      <c r="G74" s="611"/>
      <c r="H74" s="611"/>
      <c r="I74" s="611"/>
      <c r="J74" s="611"/>
      <c r="K74" s="611"/>
      <c r="L74" s="611"/>
      <c r="M74" s="611"/>
      <c r="N74" s="611"/>
      <c r="O74" s="611"/>
      <c r="P74" s="611"/>
      <c r="Q74" s="611"/>
      <c r="R74" s="612"/>
      <c r="S74" s="93" t="s">
        <v>492</v>
      </c>
      <c r="U74" s="89"/>
      <c r="V74" s="21"/>
      <c r="AQ74" s="89"/>
    </row>
    <row r="75" spans="1:43" ht="13.15" customHeight="1" x14ac:dyDescent="0.2">
      <c r="A75" s="19" t="s">
        <v>261</v>
      </c>
      <c r="B75" s="60"/>
      <c r="C75" s="610" t="s">
        <v>321</v>
      </c>
      <c r="D75" s="613"/>
      <c r="E75" s="613"/>
      <c r="F75" s="613"/>
      <c r="G75" s="613"/>
      <c r="H75" s="613"/>
      <c r="I75" s="613"/>
      <c r="J75" s="613"/>
      <c r="K75" s="613"/>
      <c r="L75" s="613"/>
      <c r="M75" s="613"/>
      <c r="N75" s="613"/>
      <c r="O75" s="613"/>
      <c r="P75" s="613"/>
      <c r="Q75" s="613"/>
      <c r="R75" s="614"/>
      <c r="S75" s="93" t="s">
        <v>493</v>
      </c>
      <c r="U75" s="89"/>
      <c r="V75" s="21"/>
      <c r="AQ75" s="89"/>
    </row>
    <row r="76" spans="1:43" ht="13.15" customHeight="1" x14ac:dyDescent="0.2">
      <c r="A76" s="19" t="s">
        <v>262</v>
      </c>
      <c r="B76" s="60"/>
      <c r="C76" s="583" t="s">
        <v>324</v>
      </c>
      <c r="D76" s="600"/>
      <c r="E76" s="600"/>
      <c r="F76" s="600"/>
      <c r="G76" s="600"/>
      <c r="H76" s="600"/>
      <c r="I76" s="600"/>
      <c r="J76" s="600"/>
      <c r="K76" s="600"/>
      <c r="L76" s="600"/>
      <c r="M76" s="600"/>
      <c r="N76" s="600"/>
      <c r="O76" s="600"/>
      <c r="P76" s="600"/>
      <c r="Q76" s="600"/>
      <c r="R76" s="600"/>
      <c r="S76" s="88"/>
      <c r="U76" s="89"/>
      <c r="V76" s="21"/>
      <c r="AQ76" s="89"/>
    </row>
    <row r="77" spans="1:43" ht="13.15" customHeight="1" x14ac:dyDescent="0.2">
      <c r="A77" s="19"/>
      <c r="B77" s="60"/>
      <c r="C77" s="583" t="s">
        <v>228</v>
      </c>
      <c r="D77" s="600"/>
      <c r="E77" s="600"/>
      <c r="F77" s="600"/>
      <c r="G77" s="600"/>
      <c r="H77" s="600"/>
      <c r="I77" s="600"/>
      <c r="J77" s="600"/>
      <c r="K77" s="600"/>
      <c r="L77" s="600"/>
      <c r="M77" s="600"/>
      <c r="N77" s="600"/>
      <c r="O77" s="600"/>
      <c r="P77" s="600"/>
      <c r="Q77" s="600"/>
      <c r="R77" s="600"/>
      <c r="S77" s="88"/>
      <c r="U77" s="89"/>
      <c r="V77" s="21"/>
      <c r="AQ77" s="89"/>
    </row>
    <row r="78" spans="1:43" ht="13.15" customHeight="1" thickBot="1" x14ac:dyDescent="0.25">
      <c r="A78" s="19"/>
      <c r="B78" s="60"/>
      <c r="C78" s="583" t="s">
        <v>270</v>
      </c>
      <c r="D78" s="602"/>
      <c r="E78" s="602"/>
      <c r="F78" s="602"/>
      <c r="G78" s="602"/>
      <c r="H78" s="602"/>
      <c r="I78" s="602"/>
      <c r="J78" s="602"/>
      <c r="K78" s="602"/>
      <c r="L78" s="602"/>
      <c r="M78" s="602"/>
      <c r="N78" s="602"/>
      <c r="O78" s="602"/>
      <c r="P78" s="602"/>
      <c r="Q78" s="602"/>
      <c r="R78" s="602"/>
      <c r="S78" s="326"/>
      <c r="T78" s="143"/>
      <c r="U78" s="144"/>
      <c r="V78" s="21"/>
      <c r="W78" s="143"/>
      <c r="X78" s="143"/>
      <c r="Y78" s="143"/>
      <c r="Z78" s="143"/>
      <c r="AA78" s="143"/>
      <c r="AB78" s="143"/>
      <c r="AC78" s="143"/>
      <c r="AD78" s="143"/>
      <c r="AE78" s="143"/>
      <c r="AF78" s="143"/>
      <c r="AG78" s="143"/>
      <c r="AH78" s="143"/>
      <c r="AI78" s="143"/>
      <c r="AJ78" s="143"/>
      <c r="AK78" s="143"/>
      <c r="AL78" s="143"/>
      <c r="AM78" s="143"/>
      <c r="AN78" s="143"/>
      <c r="AO78" s="143"/>
      <c r="AP78" s="143"/>
      <c r="AQ78" s="89"/>
    </row>
    <row r="79" spans="1:43" ht="13.15" customHeight="1" x14ac:dyDescent="0.2">
      <c r="A79" s="162" t="s">
        <v>209</v>
      </c>
      <c r="B79" s="464"/>
      <c r="C79" s="18" t="s">
        <v>208</v>
      </c>
      <c r="D79" s="16"/>
      <c r="E79" s="18" t="s">
        <v>207</v>
      </c>
      <c r="F79" s="18"/>
      <c r="G79" s="18" t="s">
        <v>206</v>
      </c>
      <c r="H79" s="17" t="e">
        <f>#REF!</f>
        <v>#REF!</v>
      </c>
      <c r="I79" s="16"/>
      <c r="J79" s="16"/>
      <c r="K79" s="16"/>
      <c r="L79" s="16"/>
      <c r="M79" s="16"/>
      <c r="N79" s="16"/>
      <c r="O79" s="16"/>
      <c r="P79" s="16"/>
      <c r="Q79" s="16"/>
      <c r="R79" s="16"/>
      <c r="S79" s="103"/>
      <c r="T79" s="103"/>
      <c r="U79" s="145"/>
      <c r="V79" s="162" t="s">
        <v>209</v>
      </c>
      <c r="W79" s="16"/>
      <c r="X79" s="163"/>
      <c r="Y79" s="18" t="s">
        <v>208</v>
      </c>
      <c r="Z79" s="16"/>
      <c r="AA79" s="18" t="s">
        <v>207</v>
      </c>
      <c r="AB79" s="18"/>
      <c r="AC79" s="18" t="s">
        <v>206</v>
      </c>
      <c r="AD79" s="17" t="e">
        <f>H79</f>
        <v>#REF!</v>
      </c>
      <c r="AE79" s="16"/>
      <c r="AF79" s="16"/>
      <c r="AG79" s="16"/>
      <c r="AH79" s="16"/>
      <c r="AI79" s="16"/>
      <c r="AJ79" s="16"/>
      <c r="AK79" s="16"/>
      <c r="AL79" s="16"/>
      <c r="AM79" s="16"/>
      <c r="AN79" s="103"/>
      <c r="AO79" s="103"/>
      <c r="AP79" s="103"/>
      <c r="AQ79" s="145"/>
    </row>
    <row r="80" spans="1:43" ht="13.15" customHeight="1" thickBot="1" x14ac:dyDescent="0.25">
      <c r="A80" s="159" t="e">
        <f>#REF!</f>
        <v>#REF!</v>
      </c>
      <c r="B80" s="175"/>
      <c r="C80" s="603" t="e">
        <f>#REF!</f>
        <v>#REF!</v>
      </c>
      <c r="D80" s="604"/>
      <c r="E80" s="605" t="e">
        <f>#REF!</f>
        <v>#REF!</v>
      </c>
      <c r="F80" s="606"/>
      <c r="G80" s="15"/>
      <c r="H80" s="14"/>
      <c r="I80" s="14"/>
      <c r="J80" s="14"/>
      <c r="K80" s="14"/>
      <c r="L80" s="14"/>
      <c r="M80" s="14"/>
      <c r="N80" s="14"/>
      <c r="O80" s="14"/>
      <c r="P80" s="14"/>
      <c r="Q80" s="14"/>
      <c r="R80" s="14"/>
      <c r="S80" s="143"/>
      <c r="T80" s="143"/>
      <c r="U80" s="144"/>
      <c r="V80" s="121"/>
      <c r="W80" s="14" t="e">
        <f>A80</f>
        <v>#REF!</v>
      </c>
      <c r="X80" s="164"/>
      <c r="Y80" s="603" t="e">
        <f>C80</f>
        <v>#REF!</v>
      </c>
      <c r="Z80" s="607"/>
      <c r="AA80" s="605" t="e">
        <f>E80</f>
        <v>#REF!</v>
      </c>
      <c r="AB80" s="608"/>
      <c r="AC80" s="15"/>
      <c r="AD80" s="14"/>
      <c r="AE80" s="14"/>
      <c r="AF80" s="14"/>
      <c r="AG80" s="14"/>
      <c r="AH80" s="14"/>
      <c r="AI80" s="14"/>
      <c r="AJ80" s="14"/>
      <c r="AK80" s="14"/>
      <c r="AL80" s="14"/>
      <c r="AM80" s="14"/>
      <c r="AN80" s="143"/>
      <c r="AO80" s="143"/>
      <c r="AP80" s="143"/>
      <c r="AQ80" s="144"/>
    </row>
  </sheetData>
  <mergeCells count="148">
    <mergeCell ref="AM55:AP56"/>
    <mergeCell ref="M56:N56"/>
    <mergeCell ref="Q57:R57"/>
    <mergeCell ref="E20:J20"/>
    <mergeCell ref="K20:N20"/>
    <mergeCell ref="Q20:R20"/>
    <mergeCell ref="E21:J21"/>
    <mergeCell ref="K21:N21"/>
    <mergeCell ref="Q21:R21"/>
    <mergeCell ref="E40:J40"/>
    <mergeCell ref="K40:N40"/>
    <mergeCell ref="Q40:R40"/>
    <mergeCell ref="E25:J25"/>
    <mergeCell ref="K25:N25"/>
    <mergeCell ref="Q25:R25"/>
    <mergeCell ref="K29:N29"/>
    <mergeCell ref="E31:J31"/>
    <mergeCell ref="K31:N31"/>
    <mergeCell ref="E33:J33"/>
    <mergeCell ref="K33:N33"/>
    <mergeCell ref="E34:J34"/>
    <mergeCell ref="K34:N34"/>
    <mergeCell ref="E37:J37"/>
    <mergeCell ref="E35:J35"/>
    <mergeCell ref="K35:N35"/>
    <mergeCell ref="Q35:R35"/>
    <mergeCell ref="E36:J36"/>
    <mergeCell ref="Y80:Z80"/>
    <mergeCell ref="AA80:AB80"/>
    <mergeCell ref="C73:R73"/>
    <mergeCell ref="C74:R74"/>
    <mergeCell ref="C75:R75"/>
    <mergeCell ref="C76:R76"/>
    <mergeCell ref="C77:R77"/>
    <mergeCell ref="C78:R78"/>
    <mergeCell ref="E60:J60"/>
    <mergeCell ref="K60:N60"/>
    <mergeCell ref="Q60:R60"/>
    <mergeCell ref="X60:AD60"/>
    <mergeCell ref="A70:R70"/>
    <mergeCell ref="C71:R71"/>
    <mergeCell ref="C72:R72"/>
    <mergeCell ref="E61:J61"/>
    <mergeCell ref="K61:N61"/>
    <mergeCell ref="Q61:R61"/>
    <mergeCell ref="C80:D80"/>
    <mergeCell ref="E80:F80"/>
    <mergeCell ref="K48:N48"/>
    <mergeCell ref="A64:R69"/>
    <mergeCell ref="E55:J55"/>
    <mergeCell ref="Q55:R55"/>
    <mergeCell ref="E59:J59"/>
    <mergeCell ref="K59:N59"/>
    <mergeCell ref="Q59:R59"/>
    <mergeCell ref="K51:N51"/>
    <mergeCell ref="E48:J48"/>
    <mergeCell ref="E51:J51"/>
    <mergeCell ref="E53:J53"/>
    <mergeCell ref="K53:N53"/>
    <mergeCell ref="Q53:R53"/>
    <mergeCell ref="E54:J54"/>
    <mergeCell ref="Q54:R54"/>
    <mergeCell ref="E56:J56"/>
    <mergeCell ref="Q56:R56"/>
    <mergeCell ref="K55:L55"/>
    <mergeCell ref="K56:L56"/>
    <mergeCell ref="M55:N55"/>
    <mergeCell ref="S56:U56"/>
    <mergeCell ref="X57:AD57"/>
    <mergeCell ref="AE57:AH57"/>
    <mergeCell ref="AK57:AL57"/>
    <mergeCell ref="W55:W56"/>
    <mergeCell ref="X55:AD56"/>
    <mergeCell ref="AE55:AH56"/>
    <mergeCell ref="AI55:AI56"/>
    <mergeCell ref="AJ55:AJ56"/>
    <mergeCell ref="AK55:AL56"/>
    <mergeCell ref="AK62:AL62"/>
    <mergeCell ref="AK61:AL61"/>
    <mergeCell ref="S29:S38"/>
    <mergeCell ref="Q51:R51"/>
    <mergeCell ref="Q48:R48"/>
    <mergeCell ref="Q45:R45"/>
    <mergeCell ref="Q42:R42"/>
    <mergeCell ref="Q29:R29"/>
    <mergeCell ref="Q31:R31"/>
    <mergeCell ref="Q33:R33"/>
    <mergeCell ref="X39:AP39"/>
    <mergeCell ref="V19:V38"/>
    <mergeCell ref="AE60:AH60"/>
    <mergeCell ref="AK60:AL60"/>
    <mergeCell ref="X58:AD58"/>
    <mergeCell ref="AE58:AH58"/>
    <mergeCell ref="AK58:AL58"/>
    <mergeCell ref="AE59:AH59"/>
    <mergeCell ref="Q34:R34"/>
    <mergeCell ref="AK59:AL59"/>
    <mergeCell ref="Q58:R58"/>
    <mergeCell ref="AE61:AH61"/>
    <mergeCell ref="X61:AD61"/>
    <mergeCell ref="X59:AD59"/>
    <mergeCell ref="E30:J30"/>
    <mergeCell ref="K30:N30"/>
    <mergeCell ref="Q30:R30"/>
    <mergeCell ref="E26:J26"/>
    <mergeCell ref="K26:N26"/>
    <mergeCell ref="Q26:R26"/>
    <mergeCell ref="AE62:AH62"/>
    <mergeCell ref="Q39:R39"/>
    <mergeCell ref="Q37:R37"/>
    <mergeCell ref="E38:J38"/>
    <mergeCell ref="K38:N38"/>
    <mergeCell ref="Q38:R38"/>
    <mergeCell ref="S39:U40"/>
    <mergeCell ref="E42:J42"/>
    <mergeCell ref="E45:J45"/>
    <mergeCell ref="K42:N42"/>
    <mergeCell ref="E39:J39"/>
    <mergeCell ref="K39:N39"/>
    <mergeCell ref="K45:N45"/>
    <mergeCell ref="K37:N37"/>
    <mergeCell ref="K36:N36"/>
    <mergeCell ref="Q36:R36"/>
    <mergeCell ref="E58:J58"/>
    <mergeCell ref="K58:N58"/>
    <mergeCell ref="E29:J29"/>
    <mergeCell ref="C11:R11"/>
    <mergeCell ref="N6:O6"/>
    <mergeCell ref="AJ6:AK6"/>
    <mergeCell ref="AB7:AH7"/>
    <mergeCell ref="C7:D7"/>
    <mergeCell ref="F7:L7"/>
    <mergeCell ref="Y7:Z7"/>
    <mergeCell ref="C17:D17"/>
    <mergeCell ref="E17:J18"/>
    <mergeCell ref="K17:N18"/>
    <mergeCell ref="O17:O18"/>
    <mergeCell ref="P17:P18"/>
    <mergeCell ref="Q17:R18"/>
    <mergeCell ref="S17:U18"/>
    <mergeCell ref="S10:U12"/>
    <mergeCell ref="S15:U16"/>
    <mergeCell ref="E19:J19"/>
    <mergeCell ref="K19:N19"/>
    <mergeCell ref="Q19:R19"/>
    <mergeCell ref="Q24:R24"/>
    <mergeCell ref="E24:J24"/>
    <mergeCell ref="K24:N24"/>
  </mergeCells>
  <phoneticPr fontId="5" type="noConversion"/>
  <pageMargins left="0.70866141732283472" right="0.15748031496062992" top="0.51181102362204722" bottom="0.43307086614173229" header="0.27559055118110237" footer="0.27559055118110237"/>
  <pageSetup paperSize="9" scale="75" pageOrder="overThenDown" orientation="portrait" r:id="rId1"/>
  <headerFooter alignWithMargins="0">
    <oddHeader>&amp;LPIRS Vorlagen-Projekt&amp;C&amp;8Project: Template&amp;R&amp;G</oddHeader>
    <oddFooter xml:space="preserve">&amp;L&amp;8 &amp;F _&amp;A&amp;R&amp;8Page &amp;P+8 of [&amp;N+8] </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1213C-3D88-4FC4-B3F5-C0FF8D7E873D}">
  <sheetPr codeName="Tabelle30"/>
  <dimension ref="A1:AQ80"/>
  <sheetViews>
    <sheetView showWhiteSpace="0" view="pageLayout" topLeftCell="A29" zoomScaleNormal="100" workbookViewId="0">
      <selection activeCell="AL2" sqref="AL2:AL4"/>
    </sheetView>
  </sheetViews>
  <sheetFormatPr defaultColWidth="0" defaultRowHeight="12.75" x14ac:dyDescent="0.2"/>
  <cols>
    <col min="1" max="1" width="14.28515625" style="13" customWidth="1"/>
    <col min="2" max="2" width="3.5703125" style="13" customWidth="1"/>
    <col min="3" max="21" width="5.7109375" style="13" customWidth="1"/>
    <col min="22" max="22" width="4.140625" style="13" customWidth="1"/>
    <col min="23" max="23" width="6.140625" style="13" customWidth="1"/>
    <col min="24" max="42" width="5.7109375" style="13" customWidth="1"/>
    <col min="43" max="59" width="6.140625" style="13" customWidth="1"/>
    <col min="60" max="16384" width="0" style="13" hidden="1"/>
  </cols>
  <sheetData>
    <row r="1" spans="1:43" ht="13.15" customHeight="1" x14ac:dyDescent="0.2">
      <c r="A1" s="73"/>
      <c r="B1" s="72"/>
      <c r="C1" s="72"/>
      <c r="D1" s="71"/>
      <c r="E1" s="16"/>
      <c r="F1" s="16"/>
      <c r="G1" s="16"/>
      <c r="H1" s="16"/>
      <c r="I1" s="16"/>
      <c r="J1" s="16"/>
      <c r="K1" s="114" t="s">
        <v>253</v>
      </c>
      <c r="L1" s="116"/>
      <c r="M1" s="70"/>
      <c r="N1" s="16"/>
      <c r="O1" s="16"/>
      <c r="P1" s="16" t="s">
        <v>716</v>
      </c>
      <c r="Q1" s="69"/>
      <c r="R1" s="68" t="s">
        <v>230</v>
      </c>
      <c r="S1" s="68"/>
      <c r="T1" s="67" t="s">
        <v>343</v>
      </c>
      <c r="U1" s="66"/>
      <c r="V1" s="162"/>
      <c r="W1" s="16"/>
      <c r="X1" s="72"/>
      <c r="Y1" s="72"/>
      <c r="Z1" s="71"/>
      <c r="AA1" s="16"/>
      <c r="AB1" s="16"/>
      <c r="AC1" s="16"/>
      <c r="AD1" s="16"/>
      <c r="AE1" s="16"/>
      <c r="AF1" s="342"/>
      <c r="AG1" s="230" t="s">
        <v>253</v>
      </c>
      <c r="AH1" s="70"/>
      <c r="AI1" s="16"/>
      <c r="AJ1" s="16"/>
      <c r="AK1" s="68"/>
      <c r="AL1" s="16" t="str">
        <f>P1</f>
        <v>PT08</v>
      </c>
      <c r="AM1" s="69"/>
      <c r="AN1" s="68" t="s">
        <v>230</v>
      </c>
      <c r="AO1" s="68"/>
      <c r="AP1" s="67" t="str">
        <f>T1</f>
        <v>3E0 (1.0345)</v>
      </c>
      <c r="AQ1" s="66"/>
    </row>
    <row r="2" spans="1:43" ht="13.15" customHeight="1" x14ac:dyDescent="0.2">
      <c r="A2" s="63" t="s">
        <v>276</v>
      </c>
      <c r="B2" s="61"/>
      <c r="C2" s="62" t="s">
        <v>291</v>
      </c>
      <c r="D2" s="61"/>
      <c r="E2" s="60"/>
      <c r="F2" s="60"/>
      <c r="G2" s="60"/>
      <c r="H2" s="60"/>
      <c r="I2" s="60"/>
      <c r="J2" s="59"/>
      <c r="K2" s="100" t="s">
        <v>232</v>
      </c>
      <c r="L2" s="74"/>
      <c r="M2" s="81"/>
      <c r="N2" s="65"/>
      <c r="O2" s="65"/>
      <c r="P2" s="523">
        <v>67.599999999999994</v>
      </c>
      <c r="Q2" s="58" t="s">
        <v>231</v>
      </c>
      <c r="R2" s="65" t="s">
        <v>252</v>
      </c>
      <c r="S2" s="65"/>
      <c r="T2" s="81" t="s">
        <v>459</v>
      </c>
      <c r="U2" s="64"/>
      <c r="V2" s="19" t="s">
        <v>276</v>
      </c>
      <c r="W2" s="60"/>
      <c r="X2" s="61"/>
      <c r="Y2" s="62" t="str">
        <f>C2</f>
        <v>Condensate &amp; Steam (T ≥ 200°C ÷ T &lt; 325°C)</v>
      </c>
      <c r="Z2" s="61"/>
      <c r="AA2" s="60"/>
      <c r="AB2" s="60"/>
      <c r="AC2" s="60"/>
      <c r="AD2" s="60"/>
      <c r="AE2" s="60"/>
      <c r="AF2" s="343"/>
      <c r="AG2" s="81" t="s">
        <v>232</v>
      </c>
      <c r="AH2" s="81"/>
      <c r="AI2" s="65"/>
      <c r="AJ2" s="65"/>
      <c r="AK2" s="65"/>
      <c r="AL2" s="523">
        <f>P2</f>
        <v>67.599999999999994</v>
      </c>
      <c r="AM2" s="58" t="s">
        <v>231</v>
      </c>
      <c r="AN2" s="65" t="s">
        <v>252</v>
      </c>
      <c r="AO2" s="65"/>
      <c r="AP2" s="81" t="str">
        <f>T2</f>
        <v>EN PN100</v>
      </c>
      <c r="AQ2" s="64"/>
    </row>
    <row r="3" spans="1:43" ht="13.15" customHeight="1" x14ac:dyDescent="0.2">
      <c r="A3" s="63"/>
      <c r="B3" s="61"/>
      <c r="C3" s="62"/>
      <c r="D3" s="61"/>
      <c r="E3" s="60"/>
      <c r="F3" s="60"/>
      <c r="G3" s="60"/>
      <c r="H3" s="60"/>
      <c r="I3" s="60"/>
      <c r="J3" s="59"/>
      <c r="K3" s="100" t="s">
        <v>233</v>
      </c>
      <c r="L3" s="75"/>
      <c r="M3" s="101"/>
      <c r="N3" s="65"/>
      <c r="O3" s="65"/>
      <c r="P3" s="529">
        <v>325</v>
      </c>
      <c r="Q3" s="58" t="s">
        <v>223</v>
      </c>
      <c r="R3" s="76" t="s">
        <v>229</v>
      </c>
      <c r="S3" s="77"/>
      <c r="T3" s="81" t="s">
        <v>227</v>
      </c>
      <c r="U3" s="57"/>
      <c r="V3" s="51"/>
      <c r="W3" s="80"/>
      <c r="X3" s="61"/>
      <c r="Y3" s="62"/>
      <c r="Z3" s="61"/>
      <c r="AA3" s="60"/>
      <c r="AB3" s="60"/>
      <c r="AC3" s="60"/>
      <c r="AD3" s="60"/>
      <c r="AE3" s="60"/>
      <c r="AF3" s="343"/>
      <c r="AG3" s="81" t="s">
        <v>233</v>
      </c>
      <c r="AH3" s="101"/>
      <c r="AI3" s="65"/>
      <c r="AJ3" s="65"/>
      <c r="AK3" s="65"/>
      <c r="AL3" s="523">
        <f>P3</f>
        <v>325</v>
      </c>
      <c r="AM3" s="58" t="s">
        <v>223</v>
      </c>
      <c r="AN3" s="76" t="s">
        <v>229</v>
      </c>
      <c r="AO3" s="77"/>
      <c r="AP3" s="81" t="str">
        <f>T3</f>
        <v>seamless</v>
      </c>
      <c r="AQ3" s="57"/>
    </row>
    <row r="4" spans="1:43" ht="13.15" customHeight="1" thickBot="1" x14ac:dyDescent="0.25">
      <c r="A4" s="56"/>
      <c r="B4" s="55"/>
      <c r="C4" s="55"/>
      <c r="D4" s="54"/>
      <c r="E4" s="53"/>
      <c r="F4" s="53"/>
      <c r="G4" s="53"/>
      <c r="H4" s="14"/>
      <c r="I4" s="14"/>
      <c r="J4" s="52"/>
      <c r="K4" s="60" t="s">
        <v>226</v>
      </c>
      <c r="L4" s="81"/>
      <c r="M4" s="102"/>
      <c r="N4" s="60"/>
      <c r="O4" s="60"/>
      <c r="P4" s="524">
        <v>148.69999999999999</v>
      </c>
      <c r="Q4" s="58" t="s">
        <v>235</v>
      </c>
      <c r="R4" s="82" t="s">
        <v>234</v>
      </c>
      <c r="S4" s="83"/>
      <c r="T4" s="113" t="s">
        <v>468</v>
      </c>
      <c r="U4" s="79"/>
      <c r="V4" s="119"/>
      <c r="W4" s="166"/>
      <c r="X4" s="55"/>
      <c r="Y4" s="55"/>
      <c r="Z4" s="54"/>
      <c r="AA4" s="53"/>
      <c r="AB4" s="53"/>
      <c r="AC4" s="53"/>
      <c r="AD4" s="14"/>
      <c r="AE4" s="14"/>
      <c r="AF4" s="344"/>
      <c r="AG4" s="60" t="s">
        <v>226</v>
      </c>
      <c r="AH4" s="102"/>
      <c r="AI4" s="60"/>
      <c r="AJ4" s="60"/>
      <c r="AK4" s="336"/>
      <c r="AL4" s="525">
        <f>P4</f>
        <v>148.69999999999999</v>
      </c>
      <c r="AM4" s="58" t="s">
        <v>235</v>
      </c>
      <c r="AN4" s="82" t="s">
        <v>234</v>
      </c>
      <c r="AO4" s="83"/>
      <c r="AP4" s="113" t="str">
        <f>T4</f>
        <v>ECHB</v>
      </c>
      <c r="AQ4" s="79"/>
    </row>
    <row r="5" spans="1:43" ht="13.15" customHeight="1" x14ac:dyDescent="0.2">
      <c r="A5" s="51" t="s">
        <v>225</v>
      </c>
      <c r="B5" s="80"/>
      <c r="C5" s="50" t="s">
        <v>224</v>
      </c>
      <c r="D5" s="49" t="s">
        <v>223</v>
      </c>
      <c r="E5" s="48"/>
      <c r="F5" s="47" t="s">
        <v>303</v>
      </c>
      <c r="G5" s="47">
        <v>100</v>
      </c>
      <c r="H5" s="47">
        <v>150</v>
      </c>
      <c r="I5" s="47">
        <v>200</v>
      </c>
      <c r="J5" s="47">
        <v>250</v>
      </c>
      <c r="K5" s="47">
        <v>300</v>
      </c>
      <c r="L5" s="197">
        <v>325</v>
      </c>
      <c r="M5" s="195">
        <v>350</v>
      </c>
      <c r="N5" s="205">
        <v>400</v>
      </c>
      <c r="O5" s="176"/>
      <c r="P5" s="177"/>
      <c r="Q5" s="104"/>
      <c r="R5" s="104"/>
      <c r="S5" s="107"/>
      <c r="T5" s="107"/>
      <c r="U5" s="105"/>
      <c r="V5" s="51" t="s">
        <v>225</v>
      </c>
      <c r="W5" s="80"/>
      <c r="X5" s="80"/>
      <c r="Y5" s="50" t="s">
        <v>224</v>
      </c>
      <c r="Z5" s="49" t="s">
        <v>223</v>
      </c>
      <c r="AA5" s="48"/>
      <c r="AB5" s="47" t="s">
        <v>303</v>
      </c>
      <c r="AC5" s="47">
        <v>100</v>
      </c>
      <c r="AD5" s="47">
        <v>150</v>
      </c>
      <c r="AE5" s="47">
        <v>200</v>
      </c>
      <c r="AF5" s="47">
        <v>250</v>
      </c>
      <c r="AG5" s="47">
        <v>300</v>
      </c>
      <c r="AH5" s="197">
        <v>325</v>
      </c>
      <c r="AI5" s="195">
        <v>350</v>
      </c>
      <c r="AJ5" s="205">
        <v>400</v>
      </c>
      <c r="AK5" s="176"/>
      <c r="AL5" s="177"/>
      <c r="AM5" s="104"/>
      <c r="AN5" s="104"/>
      <c r="AO5" s="107"/>
      <c r="AP5" s="107"/>
      <c r="AQ5" s="105"/>
    </row>
    <row r="6" spans="1:43" ht="20.25" customHeight="1" x14ac:dyDescent="0.2">
      <c r="A6" s="51"/>
      <c r="B6" s="80"/>
      <c r="C6" s="185" t="s">
        <v>285</v>
      </c>
      <c r="D6" s="186" t="s">
        <v>235</v>
      </c>
      <c r="E6" s="187" t="s">
        <v>502</v>
      </c>
      <c r="F6" s="218">
        <v>100</v>
      </c>
      <c r="G6" s="382" t="s">
        <v>588</v>
      </c>
      <c r="H6" s="387" t="s">
        <v>589</v>
      </c>
      <c r="I6" s="387" t="s">
        <v>590</v>
      </c>
      <c r="J6" s="394" t="s">
        <v>591</v>
      </c>
      <c r="K6" s="387" t="s">
        <v>554</v>
      </c>
      <c r="L6" s="397" t="s">
        <v>595</v>
      </c>
      <c r="M6" s="395" t="s">
        <v>592</v>
      </c>
      <c r="N6" s="396" t="s">
        <v>593</v>
      </c>
      <c r="O6" s="686" t="s">
        <v>594</v>
      </c>
      <c r="P6" s="687"/>
      <c r="Q6" s="189"/>
      <c r="R6" s="189"/>
      <c r="S6" s="190"/>
      <c r="T6" s="190"/>
      <c r="U6" s="191"/>
      <c r="V6" s="21"/>
      <c r="X6" s="80"/>
      <c r="Y6" s="185" t="s">
        <v>285</v>
      </c>
      <c r="Z6" s="186" t="s">
        <v>235</v>
      </c>
      <c r="AA6" s="187" t="s">
        <v>502</v>
      </c>
      <c r="AB6" s="218">
        <v>100</v>
      </c>
      <c r="AC6" s="382" t="s">
        <v>588</v>
      </c>
      <c r="AD6" s="387" t="s">
        <v>589</v>
      </c>
      <c r="AE6" s="387" t="s">
        <v>590</v>
      </c>
      <c r="AF6" s="394" t="s">
        <v>591</v>
      </c>
      <c r="AG6" s="387" t="s">
        <v>554</v>
      </c>
      <c r="AH6" s="397" t="s">
        <v>595</v>
      </c>
      <c r="AI6" s="395" t="s">
        <v>592</v>
      </c>
      <c r="AJ6" s="396" t="s">
        <v>593</v>
      </c>
      <c r="AK6" s="686" t="s">
        <v>594</v>
      </c>
      <c r="AL6" s="687"/>
      <c r="AM6" s="189"/>
      <c r="AN6" s="189"/>
      <c r="AO6" s="190"/>
      <c r="AP6" s="190"/>
      <c r="AQ6" s="191"/>
    </row>
    <row r="7" spans="1:43" ht="12.75" customHeight="1" thickBot="1" x14ac:dyDescent="0.25">
      <c r="A7" s="46"/>
      <c r="B7" s="120"/>
      <c r="C7" s="671" t="s">
        <v>284</v>
      </c>
      <c r="D7" s="672"/>
      <c r="E7" s="45"/>
      <c r="F7" s="212"/>
      <c r="G7" s="213"/>
      <c r="H7" s="213"/>
      <c r="I7" s="214"/>
      <c r="J7" s="836" t="s">
        <v>286</v>
      </c>
      <c r="K7" s="674"/>
      <c r="L7" s="837"/>
      <c r="M7" s="256" t="s">
        <v>287</v>
      </c>
      <c r="N7" s="143"/>
      <c r="O7" s="201"/>
      <c r="P7" s="201"/>
      <c r="Q7" s="201"/>
      <c r="R7" s="201"/>
      <c r="S7" s="202"/>
      <c r="T7" s="202"/>
      <c r="U7" s="106"/>
      <c r="V7" s="121"/>
      <c r="W7" s="143"/>
      <c r="X7" s="120"/>
      <c r="Y7" s="671" t="s">
        <v>284</v>
      </c>
      <c r="Z7" s="672"/>
      <c r="AA7" s="45"/>
      <c r="AB7" s="212"/>
      <c r="AC7" s="213"/>
      <c r="AD7" s="213"/>
      <c r="AE7" s="214"/>
      <c r="AF7" s="836" t="s">
        <v>286</v>
      </c>
      <c r="AG7" s="674"/>
      <c r="AH7" s="837"/>
      <c r="AI7" s="256" t="s">
        <v>287</v>
      </c>
      <c r="AJ7" s="143"/>
      <c r="AK7" s="201"/>
      <c r="AL7" s="201"/>
      <c r="AM7" s="201"/>
      <c r="AN7" s="201"/>
      <c r="AO7" s="202"/>
      <c r="AP7" s="202"/>
      <c r="AQ7" s="106"/>
    </row>
    <row r="8" spans="1:43" ht="13.15" customHeight="1" x14ac:dyDescent="0.2">
      <c r="A8" s="413" t="s">
        <v>633</v>
      </c>
      <c r="B8" s="158" t="s">
        <v>220</v>
      </c>
      <c r="C8" s="200">
        <v>15</v>
      </c>
      <c r="D8" s="38" t="s">
        <v>648</v>
      </c>
      <c r="E8" s="38">
        <v>25</v>
      </c>
      <c r="F8" s="38" t="s">
        <v>649</v>
      </c>
      <c r="G8" s="38">
        <v>40</v>
      </c>
      <c r="H8" s="38">
        <v>50</v>
      </c>
      <c r="I8" s="38" t="s">
        <v>299</v>
      </c>
      <c r="J8" s="38">
        <v>80</v>
      </c>
      <c r="K8" s="38">
        <v>100</v>
      </c>
      <c r="L8" s="38" t="s">
        <v>300</v>
      </c>
      <c r="M8" s="38">
        <v>150</v>
      </c>
      <c r="N8" s="38">
        <v>200</v>
      </c>
      <c r="O8" s="38">
        <v>250</v>
      </c>
      <c r="P8" s="38">
        <v>300</v>
      </c>
      <c r="Q8" s="38">
        <v>350</v>
      </c>
      <c r="R8" s="78">
        <v>400</v>
      </c>
      <c r="S8" s="38">
        <v>450</v>
      </c>
      <c r="T8" s="38">
        <v>500</v>
      </c>
      <c r="U8" s="37">
        <v>600</v>
      </c>
      <c r="V8" s="149"/>
      <c r="W8" s="167"/>
      <c r="X8" s="103"/>
      <c r="Y8" s="103"/>
      <c r="Z8" s="103"/>
      <c r="AA8" s="103"/>
      <c r="AB8" s="103"/>
      <c r="AC8" s="103"/>
      <c r="AD8" s="103"/>
      <c r="AE8" s="103"/>
      <c r="AF8" s="103"/>
      <c r="AG8" s="103"/>
      <c r="AH8" s="103"/>
      <c r="AI8" s="103"/>
      <c r="AJ8" s="103"/>
      <c r="AK8" s="103"/>
      <c r="AL8" s="103"/>
      <c r="AM8" s="103"/>
      <c r="AN8" s="103"/>
      <c r="AO8" s="103"/>
      <c r="AP8" s="103"/>
      <c r="AQ8" s="145"/>
    </row>
    <row r="9" spans="1:43" ht="13.15" customHeight="1" x14ac:dyDescent="0.2">
      <c r="A9" s="416" t="s">
        <v>634</v>
      </c>
      <c r="B9" s="293" t="s">
        <v>222</v>
      </c>
      <c r="C9" s="35">
        <v>21.3</v>
      </c>
      <c r="D9" s="42">
        <v>26.9</v>
      </c>
      <c r="E9" s="34">
        <v>33.700000000000003</v>
      </c>
      <c r="F9" s="34">
        <v>42.4</v>
      </c>
      <c r="G9" s="34">
        <v>48.3</v>
      </c>
      <c r="H9" s="34">
        <v>60.3</v>
      </c>
      <c r="I9" s="34">
        <v>76.099999999999994</v>
      </c>
      <c r="J9" s="34">
        <v>88.9</v>
      </c>
      <c r="K9" s="34">
        <v>114.3</v>
      </c>
      <c r="L9" s="34">
        <v>139.69999999999999</v>
      </c>
      <c r="M9" s="34">
        <v>168.3</v>
      </c>
      <c r="N9" s="34">
        <v>219.1</v>
      </c>
      <c r="O9" s="34">
        <v>273</v>
      </c>
      <c r="P9" s="34">
        <v>323.89999999999998</v>
      </c>
      <c r="Q9" s="34">
        <v>355.6</v>
      </c>
      <c r="R9" s="34">
        <v>406.4</v>
      </c>
      <c r="S9" s="34">
        <v>457</v>
      </c>
      <c r="T9" s="34">
        <v>508</v>
      </c>
      <c r="U9" s="41">
        <v>610</v>
      </c>
      <c r="V9" s="152"/>
      <c r="W9" s="168"/>
      <c r="AQ9" s="89"/>
    </row>
    <row r="10" spans="1:43" ht="13.15" customHeight="1" x14ac:dyDescent="0.2">
      <c r="A10" s="417" t="s">
        <v>635</v>
      </c>
      <c r="B10" s="294" t="s">
        <v>222</v>
      </c>
      <c r="C10" s="238">
        <v>2.6</v>
      </c>
      <c r="D10" s="239">
        <v>2.6</v>
      </c>
      <c r="E10" s="239">
        <v>2.6</v>
      </c>
      <c r="F10" s="239">
        <v>2.6</v>
      </c>
      <c r="G10" s="239">
        <v>3.6</v>
      </c>
      <c r="H10" s="239">
        <v>3.6</v>
      </c>
      <c r="I10" s="239">
        <v>5.6</v>
      </c>
      <c r="J10" s="239">
        <v>5.6</v>
      </c>
      <c r="K10" s="239">
        <v>8</v>
      </c>
      <c r="L10" s="839" t="s">
        <v>268</v>
      </c>
      <c r="M10" s="840"/>
      <c r="N10" s="840"/>
      <c r="O10" s="840"/>
      <c r="P10" s="840"/>
      <c r="Q10" s="840"/>
      <c r="R10" s="840"/>
      <c r="S10" s="840"/>
      <c r="T10" s="840"/>
      <c r="U10" s="841"/>
      <c r="V10" s="152"/>
      <c r="W10" s="169"/>
      <c r="AQ10" s="89"/>
    </row>
    <row r="11" spans="1:43" ht="13.15" customHeight="1" x14ac:dyDescent="0.2">
      <c r="A11" s="84" t="s">
        <v>636</v>
      </c>
      <c r="B11" s="295" t="s">
        <v>236</v>
      </c>
      <c r="C11" s="838" t="s">
        <v>302</v>
      </c>
      <c r="D11" s="737"/>
      <c r="E11" s="737"/>
      <c r="F11" s="737"/>
      <c r="G11" s="737"/>
      <c r="H11" s="737"/>
      <c r="I11" s="737"/>
      <c r="J11" s="737"/>
      <c r="K11" s="808"/>
      <c r="L11" s="628"/>
      <c r="M11" s="586"/>
      <c r="N11" s="586"/>
      <c r="O11" s="586"/>
      <c r="P11" s="586"/>
      <c r="Q11" s="586"/>
      <c r="R11" s="586"/>
      <c r="S11" s="586"/>
      <c r="T11" s="586"/>
      <c r="U11" s="842"/>
      <c r="V11" s="152"/>
      <c r="W11" s="161"/>
      <c r="AQ11" s="89"/>
    </row>
    <row r="12" spans="1:43" ht="13.15" customHeight="1" thickBot="1" x14ac:dyDescent="0.25">
      <c r="A12" s="419" t="s">
        <v>637</v>
      </c>
      <c r="B12" s="296" t="s">
        <v>222</v>
      </c>
      <c r="C12" s="40">
        <f>C9-2*C10</f>
        <v>16.100000000000001</v>
      </c>
      <c r="D12" s="32"/>
      <c r="E12" s="39">
        <f>E9-2*E10</f>
        <v>28.500000000000004</v>
      </c>
      <c r="F12" s="39"/>
      <c r="G12" s="39">
        <f t="shared" ref="G12:K12" si="0">G9-2*G10</f>
        <v>41.099999999999994</v>
      </c>
      <c r="H12" s="39">
        <f t="shared" si="0"/>
        <v>53.099999999999994</v>
      </c>
      <c r="I12" s="39">
        <f t="shared" si="0"/>
        <v>64.899999999999991</v>
      </c>
      <c r="J12" s="39">
        <f t="shared" si="0"/>
        <v>77.7</v>
      </c>
      <c r="K12" s="39">
        <f t="shared" si="0"/>
        <v>98.3</v>
      </c>
      <c r="L12" s="843"/>
      <c r="M12" s="844"/>
      <c r="N12" s="844"/>
      <c r="O12" s="844"/>
      <c r="P12" s="844"/>
      <c r="Q12" s="844"/>
      <c r="R12" s="844"/>
      <c r="S12" s="844"/>
      <c r="T12" s="844"/>
      <c r="U12" s="845"/>
      <c r="V12" s="152"/>
      <c r="W12" s="170"/>
      <c r="AQ12" s="89"/>
    </row>
    <row r="13" spans="1:43" ht="13.15" customHeight="1" x14ac:dyDescent="0.2">
      <c r="A13" s="413" t="s">
        <v>638</v>
      </c>
      <c r="B13" s="158" t="s">
        <v>220</v>
      </c>
      <c r="C13" s="200">
        <v>15</v>
      </c>
      <c r="D13" s="38" t="s">
        <v>648</v>
      </c>
      <c r="E13" s="38">
        <v>25</v>
      </c>
      <c r="F13" s="38" t="s">
        <v>649</v>
      </c>
      <c r="G13" s="38">
        <v>40</v>
      </c>
      <c r="H13" s="38">
        <v>50</v>
      </c>
      <c r="I13" s="38" t="s">
        <v>299</v>
      </c>
      <c r="J13" s="38">
        <v>80</v>
      </c>
      <c r="K13" s="38">
        <v>100</v>
      </c>
      <c r="L13" s="38" t="s">
        <v>300</v>
      </c>
      <c r="M13" s="38">
        <v>150</v>
      </c>
      <c r="N13" s="38">
        <v>200</v>
      </c>
      <c r="O13" s="38">
        <v>250</v>
      </c>
      <c r="P13" s="38">
        <v>300</v>
      </c>
      <c r="Q13" s="38">
        <v>350</v>
      </c>
      <c r="R13" s="78">
        <v>400</v>
      </c>
      <c r="S13" s="38">
        <v>450</v>
      </c>
      <c r="T13" s="38">
        <v>500</v>
      </c>
      <c r="U13" s="37">
        <v>600</v>
      </c>
      <c r="V13" s="154"/>
      <c r="W13" s="171"/>
      <c r="AQ13" s="89"/>
    </row>
    <row r="14" spans="1:43" ht="13.15" customHeight="1" x14ac:dyDescent="0.2">
      <c r="A14" s="416" t="s">
        <v>639</v>
      </c>
      <c r="B14" s="297" t="s">
        <v>222</v>
      </c>
      <c r="C14" s="35">
        <v>21.3</v>
      </c>
      <c r="D14" s="34">
        <v>26.9</v>
      </c>
      <c r="E14" s="34">
        <v>33.700000000000003</v>
      </c>
      <c r="F14" s="34">
        <v>42.4</v>
      </c>
      <c r="G14" s="34">
        <v>48.3</v>
      </c>
      <c r="H14" s="34">
        <v>60.3</v>
      </c>
      <c r="I14" s="34">
        <v>76.099999999999994</v>
      </c>
      <c r="J14" s="34">
        <v>88.9</v>
      </c>
      <c r="K14" s="34">
        <v>114.3</v>
      </c>
      <c r="L14" s="34">
        <v>139.69999999999999</v>
      </c>
      <c r="M14" s="34">
        <v>168.3</v>
      </c>
      <c r="N14" s="34">
        <v>219.1</v>
      </c>
      <c r="O14" s="34">
        <v>273</v>
      </c>
      <c r="P14" s="34">
        <v>323.89999999999998</v>
      </c>
      <c r="Q14" s="34">
        <v>355.6</v>
      </c>
      <c r="R14" s="34">
        <v>406.4</v>
      </c>
      <c r="S14" s="34">
        <v>457</v>
      </c>
      <c r="T14" s="34">
        <v>508</v>
      </c>
      <c r="U14" s="41">
        <v>610</v>
      </c>
      <c r="V14" s="152"/>
      <c r="W14" s="168"/>
      <c r="AQ14" s="89"/>
    </row>
    <row r="15" spans="1:43" ht="13.15" customHeight="1" x14ac:dyDescent="0.2">
      <c r="A15" s="417" t="s">
        <v>640</v>
      </c>
      <c r="B15" s="294" t="s">
        <v>222</v>
      </c>
      <c r="C15" s="238">
        <v>2.6</v>
      </c>
      <c r="D15" s="239">
        <v>2.6</v>
      </c>
      <c r="E15" s="239">
        <v>2.6</v>
      </c>
      <c r="F15" s="239">
        <v>2.6</v>
      </c>
      <c r="G15" s="239">
        <v>3.6</v>
      </c>
      <c r="H15" s="239">
        <v>3.6</v>
      </c>
      <c r="I15" s="239">
        <v>5.6</v>
      </c>
      <c r="J15" s="239">
        <v>5.6</v>
      </c>
      <c r="K15" s="239">
        <v>8.8000000000000007</v>
      </c>
      <c r="L15" s="846" t="s">
        <v>268</v>
      </c>
      <c r="M15" s="547"/>
      <c r="N15" s="547"/>
      <c r="O15" s="547"/>
      <c r="P15" s="547"/>
      <c r="Q15" s="547"/>
      <c r="R15" s="547"/>
      <c r="S15" s="547"/>
      <c r="T15" s="547"/>
      <c r="U15" s="823"/>
      <c r="V15" s="152"/>
      <c r="W15" s="169"/>
      <c r="AQ15" s="89"/>
    </row>
    <row r="16" spans="1:43" ht="13.15" customHeight="1" thickBot="1" x14ac:dyDescent="0.25">
      <c r="A16" s="419" t="s">
        <v>641</v>
      </c>
      <c r="B16" s="296" t="s">
        <v>222</v>
      </c>
      <c r="C16" s="316">
        <v>3</v>
      </c>
      <c r="D16" s="469">
        <v>3</v>
      </c>
      <c r="E16" s="317" t="s">
        <v>543</v>
      </c>
      <c r="F16" s="317" t="s">
        <v>543</v>
      </c>
      <c r="G16" s="317">
        <v>3</v>
      </c>
      <c r="H16" s="317">
        <v>3</v>
      </c>
      <c r="I16" s="317">
        <v>4</v>
      </c>
      <c r="J16" s="317">
        <v>4</v>
      </c>
      <c r="K16" s="317">
        <v>5</v>
      </c>
      <c r="L16" s="847"/>
      <c r="M16" s="848"/>
      <c r="N16" s="848"/>
      <c r="O16" s="848"/>
      <c r="P16" s="848"/>
      <c r="Q16" s="848"/>
      <c r="R16" s="848"/>
      <c r="S16" s="848"/>
      <c r="T16" s="848"/>
      <c r="U16" s="849"/>
      <c r="V16" s="21"/>
      <c r="AO16"/>
      <c r="AQ16" s="89"/>
    </row>
    <row r="17" spans="1:43" ht="13.15" customHeight="1" x14ac:dyDescent="0.2">
      <c r="A17" s="31" t="s">
        <v>221</v>
      </c>
      <c r="B17" s="422"/>
      <c r="C17" s="631" t="s">
        <v>220</v>
      </c>
      <c r="D17" s="632"/>
      <c r="E17" s="633" t="s">
        <v>197</v>
      </c>
      <c r="F17" s="634"/>
      <c r="G17" s="634"/>
      <c r="H17" s="634"/>
      <c r="I17" s="634"/>
      <c r="J17" s="634"/>
      <c r="K17" s="635" t="s">
        <v>241</v>
      </c>
      <c r="L17" s="634"/>
      <c r="M17" s="634"/>
      <c r="N17" s="636"/>
      <c r="O17" s="656" t="s">
        <v>243</v>
      </c>
      <c r="P17" s="656" t="s">
        <v>242</v>
      </c>
      <c r="Q17" s="637" t="s">
        <v>244</v>
      </c>
      <c r="R17" s="638"/>
      <c r="S17" s="633" t="s">
        <v>245</v>
      </c>
      <c r="T17" s="639"/>
      <c r="U17" s="640"/>
      <c r="V17" s="21"/>
      <c r="AQ17" s="89"/>
    </row>
    <row r="18" spans="1:43" ht="13.15" customHeight="1" x14ac:dyDescent="0.2">
      <c r="A18" s="20"/>
      <c r="B18" s="424"/>
      <c r="C18" s="30" t="s">
        <v>219</v>
      </c>
      <c r="D18" s="30" t="s">
        <v>218</v>
      </c>
      <c r="E18" s="554"/>
      <c r="F18" s="555"/>
      <c r="G18" s="555"/>
      <c r="H18" s="555"/>
      <c r="I18" s="555"/>
      <c r="J18" s="555"/>
      <c r="K18" s="558"/>
      <c r="L18" s="555"/>
      <c r="M18" s="555"/>
      <c r="N18" s="556"/>
      <c r="O18" s="555"/>
      <c r="P18" s="555"/>
      <c r="Q18" s="555"/>
      <c r="R18" s="555"/>
      <c r="S18" s="641"/>
      <c r="T18" s="642"/>
      <c r="U18" s="643"/>
      <c r="V18" s="172"/>
      <c r="W18" s="168"/>
      <c r="X18" s="659" t="s">
        <v>288</v>
      </c>
      <c r="Y18" s="670"/>
      <c r="Z18" s="670"/>
      <c r="AA18" s="670"/>
      <c r="AB18" s="670"/>
      <c r="AC18" s="670"/>
      <c r="AD18" s="670"/>
      <c r="AE18" s="670"/>
      <c r="AF18" s="670"/>
      <c r="AG18" s="670"/>
      <c r="AH18" s="670"/>
      <c r="AI18" s="670"/>
      <c r="AJ18" s="670"/>
      <c r="AK18" s="670"/>
      <c r="AL18" s="670"/>
      <c r="AM18" s="670"/>
      <c r="AN18" s="670"/>
      <c r="AO18" s="660"/>
      <c r="AP18" s="660"/>
      <c r="AQ18" s="89"/>
    </row>
    <row r="19" spans="1:43" ht="13.15" customHeight="1" x14ac:dyDescent="0.2">
      <c r="A19" s="19" t="s">
        <v>217</v>
      </c>
      <c r="B19" s="60"/>
      <c r="C19" s="24">
        <v>15</v>
      </c>
      <c r="D19" s="24">
        <v>50</v>
      </c>
      <c r="E19" s="561" t="s">
        <v>497</v>
      </c>
      <c r="F19" s="562"/>
      <c r="G19" s="562"/>
      <c r="H19" s="562"/>
      <c r="I19" s="562"/>
      <c r="J19" s="563"/>
      <c r="K19" s="564" t="s">
        <v>322</v>
      </c>
      <c r="L19" s="562"/>
      <c r="M19" s="562"/>
      <c r="N19" s="563"/>
      <c r="O19" s="97" t="s">
        <v>236</v>
      </c>
      <c r="P19" s="97" t="s">
        <v>485</v>
      </c>
      <c r="Q19" s="651" t="s">
        <v>304</v>
      </c>
      <c r="R19" s="626"/>
      <c r="S19" s="88"/>
      <c r="U19" s="89"/>
      <c r="V19" s="657" t="s">
        <v>274</v>
      </c>
      <c r="W19" s="1">
        <v>15</v>
      </c>
      <c r="X19" s="139" t="s">
        <v>396</v>
      </c>
      <c r="Y19" s="137"/>
      <c r="Z19" s="137"/>
      <c r="AA19" s="137"/>
      <c r="AB19" s="137"/>
      <c r="AC19" s="137"/>
      <c r="AD19" s="137"/>
      <c r="AE19" s="137"/>
      <c r="AF19" s="137"/>
      <c r="AG19" s="137"/>
      <c r="AH19" s="137"/>
      <c r="AI19" s="137"/>
      <c r="AJ19" s="137"/>
      <c r="AK19" s="137"/>
      <c r="AL19" s="138"/>
      <c r="AM19" s="138"/>
      <c r="AN19"/>
      <c r="AQ19" s="89"/>
    </row>
    <row r="20" spans="1:43" ht="13.15" customHeight="1" x14ac:dyDescent="0.2">
      <c r="A20" s="19"/>
      <c r="B20" s="60"/>
      <c r="C20" s="24">
        <v>65</v>
      </c>
      <c r="D20" s="24">
        <v>100</v>
      </c>
      <c r="E20" s="583" t="s">
        <v>496</v>
      </c>
      <c r="F20" s="549"/>
      <c r="G20" s="549"/>
      <c r="H20" s="549"/>
      <c r="I20" s="549"/>
      <c r="J20" s="550"/>
      <c r="K20" s="584" t="s">
        <v>322</v>
      </c>
      <c r="L20" s="549"/>
      <c r="M20" s="549"/>
      <c r="N20" s="550"/>
      <c r="O20" s="98" t="s">
        <v>236</v>
      </c>
      <c r="P20" s="98" t="s">
        <v>484</v>
      </c>
      <c r="Q20" s="652" t="s">
        <v>304</v>
      </c>
      <c r="R20" s="586"/>
      <c r="S20" s="88"/>
      <c r="U20" s="89"/>
      <c r="V20" s="824"/>
      <c r="W20" s="430" t="s">
        <v>642</v>
      </c>
      <c r="X20" s="139"/>
      <c r="Y20" s="139"/>
      <c r="Z20" s="501"/>
      <c r="AA20" s="137"/>
      <c r="AB20" s="137"/>
      <c r="AC20" s="137"/>
      <c r="AD20" s="137"/>
      <c r="AE20" s="137"/>
      <c r="AF20" s="137"/>
      <c r="AG20" s="137"/>
      <c r="AH20" s="137"/>
      <c r="AI20" s="137"/>
      <c r="AJ20" s="137"/>
      <c r="AK20" s="137"/>
      <c r="AL20" s="137"/>
      <c r="AM20" s="138"/>
      <c r="AN20" s="138"/>
      <c r="AQ20" s="89"/>
    </row>
    <row r="21" spans="1:43" ht="13.15" customHeight="1" x14ac:dyDescent="0.2">
      <c r="A21" s="19"/>
      <c r="B21" s="60"/>
      <c r="C21" s="24"/>
      <c r="D21" s="24"/>
      <c r="E21" s="583"/>
      <c r="F21" s="549"/>
      <c r="G21" s="549"/>
      <c r="H21" s="549"/>
      <c r="I21" s="549"/>
      <c r="J21" s="550"/>
      <c r="K21" s="584"/>
      <c r="L21" s="549"/>
      <c r="M21" s="549"/>
      <c r="N21" s="550"/>
      <c r="O21" s="98"/>
      <c r="P21" s="98"/>
      <c r="Q21" s="652"/>
      <c r="R21" s="586"/>
      <c r="S21" s="88"/>
      <c r="U21" s="89"/>
      <c r="V21" s="824"/>
      <c r="W21" s="118">
        <v>25</v>
      </c>
      <c r="X21" s="139" t="s">
        <v>396</v>
      </c>
      <c r="Y21" s="139"/>
      <c r="Z21" s="139" t="s">
        <v>407</v>
      </c>
      <c r="AA21" s="137"/>
      <c r="AB21" s="137"/>
      <c r="AC21" s="137"/>
      <c r="AD21" s="137"/>
      <c r="AE21" s="137"/>
      <c r="AF21" s="137"/>
      <c r="AG21" s="137"/>
      <c r="AH21" s="137"/>
      <c r="AI21" s="137"/>
      <c r="AJ21" s="137"/>
      <c r="AK21" s="137"/>
      <c r="AL21" s="137"/>
      <c r="AM21" s="138"/>
      <c r="AN21" s="138"/>
      <c r="AQ21" s="89"/>
    </row>
    <row r="22" spans="1:43" ht="13.15" customHeight="1" x14ac:dyDescent="0.2">
      <c r="A22" s="19"/>
      <c r="B22" s="60"/>
      <c r="C22" s="24"/>
      <c r="D22" s="24"/>
      <c r="E22" s="583"/>
      <c r="F22" s="549"/>
      <c r="G22" s="549"/>
      <c r="H22" s="549"/>
      <c r="I22" s="549"/>
      <c r="J22" s="550"/>
      <c r="K22" s="584"/>
      <c r="L22" s="549"/>
      <c r="M22" s="549"/>
      <c r="N22" s="550"/>
      <c r="O22" s="98"/>
      <c r="P22" s="98"/>
      <c r="Q22" s="652"/>
      <c r="R22" s="586"/>
      <c r="S22" s="88"/>
      <c r="U22" s="89"/>
      <c r="V22" s="824"/>
      <c r="W22" s="430" t="s">
        <v>643</v>
      </c>
      <c r="X22" s="139"/>
      <c r="Y22" s="139"/>
      <c r="Z22" s="139"/>
      <c r="AA22" s="139"/>
      <c r="AB22" s="501"/>
      <c r="AC22" s="137"/>
      <c r="AD22" s="137"/>
      <c r="AE22" s="137"/>
      <c r="AF22" s="137"/>
      <c r="AG22" s="137"/>
      <c r="AH22" s="137"/>
      <c r="AI22" s="137"/>
      <c r="AJ22" s="137"/>
      <c r="AK22" s="137"/>
      <c r="AL22" s="137"/>
      <c r="AM22" s="137"/>
      <c r="AN22" s="138"/>
      <c r="AO22" s="138"/>
      <c r="AQ22" s="89"/>
    </row>
    <row r="23" spans="1:43" ht="13.15" customHeight="1" x14ac:dyDescent="0.2">
      <c r="A23" s="19"/>
      <c r="B23" s="60"/>
      <c r="C23" s="24"/>
      <c r="D23" s="24"/>
      <c r="E23" s="155"/>
      <c r="F23" s="160"/>
      <c r="G23" s="160"/>
      <c r="H23" s="160"/>
      <c r="I23" s="160"/>
      <c r="J23" s="181"/>
      <c r="K23" s="182"/>
      <c r="L23" s="160"/>
      <c r="M23" s="160"/>
      <c r="N23" s="181"/>
      <c r="O23" s="98"/>
      <c r="P23" s="98"/>
      <c r="Q23" s="183"/>
      <c r="R23" s="161"/>
      <c r="S23" s="88"/>
      <c r="U23" s="89"/>
      <c r="V23" s="824"/>
      <c r="W23" s="118">
        <v>40</v>
      </c>
      <c r="X23" s="139" t="s">
        <v>396</v>
      </c>
      <c r="Y23" s="139"/>
      <c r="Z23" s="139" t="s">
        <v>396</v>
      </c>
      <c r="AA23" s="139"/>
      <c r="AB23" s="139" t="s">
        <v>396</v>
      </c>
      <c r="AC23" s="137"/>
      <c r="AD23" s="137"/>
      <c r="AE23" s="137"/>
      <c r="AF23" s="137"/>
      <c r="AG23" s="137"/>
      <c r="AH23" s="137"/>
      <c r="AI23" s="137"/>
      <c r="AJ23" s="137"/>
      <c r="AK23" s="137"/>
      <c r="AL23" s="137"/>
      <c r="AM23" s="137"/>
      <c r="AN23" s="138"/>
      <c r="AO23" s="138"/>
      <c r="AQ23" s="89"/>
    </row>
    <row r="24" spans="1:43" ht="13.15" customHeight="1" x14ac:dyDescent="0.2">
      <c r="A24" s="26" t="s">
        <v>298</v>
      </c>
      <c r="B24" s="435"/>
      <c r="C24" s="29">
        <v>15</v>
      </c>
      <c r="D24" s="25">
        <v>50</v>
      </c>
      <c r="E24" s="653" t="s">
        <v>495</v>
      </c>
      <c r="F24" s="654"/>
      <c r="G24" s="654"/>
      <c r="H24" s="654"/>
      <c r="I24" s="654"/>
      <c r="J24" s="655"/>
      <c r="K24" s="699" t="s">
        <v>322</v>
      </c>
      <c r="L24" s="654"/>
      <c r="M24" s="654"/>
      <c r="N24" s="655"/>
      <c r="O24" s="148" t="s">
        <v>236</v>
      </c>
      <c r="P24" s="97" t="s">
        <v>485</v>
      </c>
      <c r="Q24" s="697" t="s">
        <v>304</v>
      </c>
      <c r="R24" s="698"/>
      <c r="S24" s="90"/>
      <c r="T24" s="91"/>
      <c r="U24" s="92"/>
      <c r="V24" s="824"/>
      <c r="W24" s="1">
        <v>50</v>
      </c>
      <c r="X24" s="139" t="s">
        <v>410</v>
      </c>
      <c r="Y24" s="139"/>
      <c r="Z24" s="139" t="s">
        <v>396</v>
      </c>
      <c r="AA24" s="139"/>
      <c r="AB24" s="139" t="s">
        <v>396</v>
      </c>
      <c r="AC24" s="139" t="s">
        <v>396</v>
      </c>
      <c r="AD24" s="137"/>
      <c r="AE24" s="137"/>
      <c r="AF24" s="137"/>
      <c r="AG24" s="137"/>
      <c r="AH24" s="137"/>
      <c r="AI24" s="137"/>
      <c r="AJ24" s="137"/>
      <c r="AK24" s="137"/>
      <c r="AL24" s="137"/>
      <c r="AM24" s="137"/>
      <c r="AN24" s="138"/>
      <c r="AO24" s="138"/>
      <c r="AQ24" s="89"/>
    </row>
    <row r="25" spans="1:43" ht="13.15" customHeight="1" x14ac:dyDescent="0.2">
      <c r="A25" s="19" t="s">
        <v>305</v>
      </c>
      <c r="B25" s="60"/>
      <c r="C25" s="235">
        <v>15</v>
      </c>
      <c r="D25" s="242">
        <v>40</v>
      </c>
      <c r="E25" s="644" t="s">
        <v>503</v>
      </c>
      <c r="F25" s="645"/>
      <c r="G25" s="645"/>
      <c r="H25" s="645"/>
      <c r="I25" s="645"/>
      <c r="J25" s="646"/>
      <c r="K25" s="700" t="s">
        <v>323</v>
      </c>
      <c r="L25" s="645"/>
      <c r="M25" s="645"/>
      <c r="N25" s="646"/>
      <c r="O25" s="188" t="s">
        <v>236</v>
      </c>
      <c r="P25" s="188" t="s">
        <v>246</v>
      </c>
      <c r="Q25" s="647" t="s">
        <v>306</v>
      </c>
      <c r="R25" s="648"/>
      <c r="S25" s="93"/>
      <c r="U25" s="89"/>
      <c r="V25" s="824"/>
      <c r="W25" s="227" t="s">
        <v>295</v>
      </c>
      <c r="X25" s="139" t="s">
        <v>410</v>
      </c>
      <c r="Y25" s="142"/>
      <c r="Z25" s="142" t="s">
        <v>397</v>
      </c>
      <c r="AA25" s="142"/>
      <c r="AB25" s="142" t="s">
        <v>397</v>
      </c>
      <c r="AC25" s="142" t="s">
        <v>397</v>
      </c>
      <c r="AD25" s="142" t="s">
        <v>397</v>
      </c>
      <c r="AE25" s="147"/>
      <c r="AF25" s="137"/>
      <c r="AG25" s="137"/>
      <c r="AH25" s="137"/>
      <c r="AI25" s="137"/>
      <c r="AJ25" s="137"/>
      <c r="AK25" s="137"/>
      <c r="AL25" s="137"/>
      <c r="AM25" s="137"/>
      <c r="AN25" s="137"/>
      <c r="AO25" s="138"/>
      <c r="AP25" s="138"/>
      <c r="AQ25" s="89"/>
    </row>
    <row r="26" spans="1:43" ht="13.15" customHeight="1" x14ac:dyDescent="0.2">
      <c r="A26" s="19"/>
      <c r="B26" s="60"/>
      <c r="C26" s="24">
        <v>50</v>
      </c>
      <c r="D26" s="23">
        <v>100</v>
      </c>
      <c r="E26" s="583" t="s">
        <v>503</v>
      </c>
      <c r="F26" s="549"/>
      <c r="G26" s="549"/>
      <c r="H26" s="549"/>
      <c r="I26" s="549"/>
      <c r="J26" s="550"/>
      <c r="K26" s="584" t="s">
        <v>323</v>
      </c>
      <c r="L26" s="549"/>
      <c r="M26" s="549"/>
      <c r="N26" s="550"/>
      <c r="O26" s="98" t="s">
        <v>236</v>
      </c>
      <c r="P26" s="98" t="s">
        <v>246</v>
      </c>
      <c r="Q26" s="585" t="s">
        <v>307</v>
      </c>
      <c r="R26" s="545"/>
      <c r="S26" s="88"/>
      <c r="U26" s="89"/>
      <c r="V26" s="824"/>
      <c r="W26" s="1">
        <v>80</v>
      </c>
      <c r="X26" s="139" t="s">
        <v>410</v>
      </c>
      <c r="Y26" s="139"/>
      <c r="Z26" s="139" t="s">
        <v>421</v>
      </c>
      <c r="AA26" s="139"/>
      <c r="AB26" s="139" t="s">
        <v>397</v>
      </c>
      <c r="AC26" s="139" t="s">
        <v>397</v>
      </c>
      <c r="AD26" s="139" t="s">
        <v>397</v>
      </c>
      <c r="AE26" s="139" t="s">
        <v>397</v>
      </c>
      <c r="AF26" s="137"/>
      <c r="AG26" s="137"/>
      <c r="AH26" s="137"/>
      <c r="AI26" s="137"/>
      <c r="AJ26" s="137"/>
      <c r="AK26" s="137"/>
      <c r="AL26" s="137"/>
      <c r="AM26" s="137"/>
      <c r="AN26" s="137"/>
      <c r="AO26" s="138"/>
      <c r="AP26" s="138"/>
      <c r="AQ26" s="89"/>
    </row>
    <row r="27" spans="1:43" ht="13.15" customHeight="1" x14ac:dyDescent="0.2">
      <c r="A27" s="19"/>
      <c r="B27" s="60"/>
      <c r="C27" s="24"/>
      <c r="D27" s="23"/>
      <c r="E27" s="155"/>
      <c r="F27" s="160"/>
      <c r="G27" s="160"/>
      <c r="H27" s="160"/>
      <c r="I27" s="160"/>
      <c r="J27" s="181"/>
      <c r="K27" s="182"/>
      <c r="L27" s="160"/>
      <c r="M27" s="160"/>
      <c r="N27" s="181"/>
      <c r="O27" s="98"/>
      <c r="P27" s="98"/>
      <c r="Q27" s="183"/>
      <c r="R27" s="161"/>
      <c r="S27" s="93"/>
      <c r="U27" s="89"/>
      <c r="V27" s="824"/>
      <c r="W27" s="1">
        <v>100</v>
      </c>
      <c r="X27" s="139" t="s">
        <v>410</v>
      </c>
      <c r="Y27" s="142"/>
      <c r="Z27" s="142" t="s">
        <v>421</v>
      </c>
      <c r="AA27" s="139"/>
      <c r="AB27" s="139" t="s">
        <v>398</v>
      </c>
      <c r="AC27" s="139" t="s">
        <v>398</v>
      </c>
      <c r="AD27" s="139" t="s">
        <v>398</v>
      </c>
      <c r="AE27" s="139" t="s">
        <v>398</v>
      </c>
      <c r="AF27" s="139" t="s">
        <v>398</v>
      </c>
      <c r="AG27" s="137"/>
      <c r="AH27" s="137"/>
      <c r="AI27" s="137"/>
      <c r="AJ27" s="137"/>
      <c r="AK27" s="137"/>
      <c r="AL27" s="137"/>
      <c r="AM27" s="137"/>
      <c r="AN27" s="137"/>
      <c r="AO27" s="138"/>
      <c r="AP27" s="138"/>
      <c r="AQ27" s="89"/>
    </row>
    <row r="28" spans="1:43" ht="13.15" customHeight="1" x14ac:dyDescent="0.2">
      <c r="A28" s="20"/>
      <c r="B28" s="424"/>
      <c r="C28" s="28"/>
      <c r="D28" s="27"/>
      <c r="E28" s="320"/>
      <c r="F28" s="124"/>
      <c r="G28" s="124"/>
      <c r="H28" s="124"/>
      <c r="I28" s="124"/>
      <c r="J28" s="354"/>
      <c r="K28" s="321"/>
      <c r="L28" s="124"/>
      <c r="M28" s="124"/>
      <c r="N28" s="354"/>
      <c r="O28" s="110"/>
      <c r="P28" s="110"/>
      <c r="Q28" s="80"/>
      <c r="R28" s="80"/>
      <c r="S28" s="94"/>
      <c r="T28" s="95"/>
      <c r="U28" s="96"/>
      <c r="V28" s="824"/>
      <c r="W28" s="227" t="s">
        <v>296</v>
      </c>
      <c r="X28" s="136"/>
      <c r="Y28" s="142"/>
      <c r="Z28" s="142"/>
      <c r="AA28" s="136"/>
      <c r="AB28" s="136"/>
      <c r="AC28" s="136"/>
      <c r="AD28" s="136"/>
      <c r="AE28" s="136"/>
      <c r="AF28" s="136"/>
      <c r="AG28" s="136"/>
      <c r="AH28" s="137"/>
      <c r="AI28" s="137"/>
      <c r="AJ28" s="137"/>
      <c r="AK28" s="137"/>
      <c r="AL28" s="137"/>
      <c r="AM28" s="137"/>
      <c r="AN28" s="137"/>
      <c r="AO28" s="138"/>
      <c r="AP28" s="138"/>
      <c r="AQ28" s="89"/>
    </row>
    <row r="29" spans="1:43" ht="13.15" customHeight="1" x14ac:dyDescent="0.2">
      <c r="A29" s="19" t="s">
        <v>249</v>
      </c>
      <c r="B29" s="60"/>
      <c r="C29" s="24">
        <v>15</v>
      </c>
      <c r="D29" s="24">
        <v>100</v>
      </c>
      <c r="E29" s="561" t="s">
        <v>271</v>
      </c>
      <c r="F29" s="562"/>
      <c r="G29" s="562"/>
      <c r="H29" s="562"/>
      <c r="I29" s="562"/>
      <c r="J29" s="563"/>
      <c r="K29" s="564" t="s">
        <v>322</v>
      </c>
      <c r="L29" s="562"/>
      <c r="M29" s="562"/>
      <c r="N29" s="563"/>
      <c r="O29" s="97" t="s">
        <v>236</v>
      </c>
      <c r="P29" s="97" t="s">
        <v>246</v>
      </c>
      <c r="Q29" s="565" t="s">
        <v>307</v>
      </c>
      <c r="R29" s="576"/>
      <c r="S29" s="694" t="s">
        <v>722</v>
      </c>
      <c r="T29" s="91"/>
      <c r="U29" s="92"/>
      <c r="V29" s="824"/>
      <c r="W29" s="1">
        <v>150</v>
      </c>
      <c r="X29" s="136"/>
      <c r="Y29" s="142"/>
      <c r="Z29" s="142"/>
      <c r="AA29" s="136"/>
      <c r="AB29" s="136"/>
      <c r="AC29" s="136"/>
      <c r="AD29" s="136"/>
      <c r="AE29" s="136"/>
      <c r="AF29" s="136"/>
      <c r="AG29" s="136"/>
      <c r="AH29" s="136"/>
      <c r="AI29" s="137"/>
      <c r="AJ29" s="137"/>
      <c r="AK29" s="137"/>
      <c r="AL29" s="137"/>
      <c r="AM29" s="137"/>
      <c r="AN29" s="137"/>
      <c r="AO29" s="138"/>
      <c r="AP29" s="138"/>
      <c r="AQ29" s="89"/>
    </row>
    <row r="30" spans="1:43" ht="13.15" customHeight="1" x14ac:dyDescent="0.2">
      <c r="A30" s="19" t="s">
        <v>250</v>
      </c>
      <c r="B30" s="60"/>
      <c r="C30" s="210" t="s">
        <v>236</v>
      </c>
      <c r="D30" s="210" t="s">
        <v>236</v>
      </c>
      <c r="E30" s="583" t="s">
        <v>325</v>
      </c>
      <c r="F30" s="549"/>
      <c r="G30" s="549"/>
      <c r="H30" s="549"/>
      <c r="I30" s="549"/>
      <c r="J30" s="550"/>
      <c r="K30" s="584" t="s">
        <v>322</v>
      </c>
      <c r="L30" s="549"/>
      <c r="M30" s="549"/>
      <c r="N30" s="550"/>
      <c r="O30" s="98" t="s">
        <v>236</v>
      </c>
      <c r="P30" s="98" t="s">
        <v>246</v>
      </c>
      <c r="Q30" s="585" t="s">
        <v>347</v>
      </c>
      <c r="R30" s="545"/>
      <c r="S30" s="833"/>
      <c r="U30" s="89"/>
      <c r="V30" s="824"/>
      <c r="W30" s="1">
        <v>200</v>
      </c>
      <c r="X30" s="136"/>
      <c r="Y30" s="142"/>
      <c r="Z30" s="142"/>
      <c r="AA30" s="136"/>
      <c r="AB30" s="136"/>
      <c r="AC30" s="136"/>
      <c r="AD30" s="136"/>
      <c r="AE30" s="136"/>
      <c r="AF30" s="136"/>
      <c r="AG30" s="136"/>
      <c r="AH30" s="136"/>
      <c r="AI30" s="136"/>
      <c r="AJ30" s="137"/>
      <c r="AK30" s="137"/>
      <c r="AL30" s="137"/>
      <c r="AM30" s="137"/>
      <c r="AN30" s="137"/>
      <c r="AO30" s="138"/>
      <c r="AP30" s="138"/>
      <c r="AQ30" s="89"/>
    </row>
    <row r="31" spans="1:43" ht="13.15" customHeight="1" x14ac:dyDescent="0.2">
      <c r="A31" s="19"/>
      <c r="B31" s="60"/>
      <c r="C31" s="210"/>
      <c r="D31" s="210"/>
      <c r="E31" s="155"/>
      <c r="F31" s="160"/>
      <c r="G31" s="160"/>
      <c r="H31" s="160"/>
      <c r="I31" s="160"/>
      <c r="J31" s="181"/>
      <c r="K31" s="182"/>
      <c r="L31" s="160"/>
      <c r="M31" s="160"/>
      <c r="N31" s="181"/>
      <c r="O31" s="98"/>
      <c r="P31" s="98"/>
      <c r="Q31" s="347"/>
      <c r="R31" s="348"/>
      <c r="S31" s="833"/>
      <c r="U31" s="89"/>
      <c r="V31" s="824"/>
      <c r="W31" s="1">
        <v>250</v>
      </c>
      <c r="X31" s="136"/>
      <c r="Y31" s="142"/>
      <c r="Z31" s="142"/>
      <c r="AA31" s="139"/>
      <c r="AB31" s="139"/>
      <c r="AC31" s="136"/>
      <c r="AD31" s="136"/>
      <c r="AE31" s="136"/>
      <c r="AF31" s="136"/>
      <c r="AG31" s="136"/>
      <c r="AH31" s="136"/>
      <c r="AI31" s="136"/>
      <c r="AJ31" s="136"/>
      <c r="AK31" s="137"/>
      <c r="AL31" s="137"/>
      <c r="AM31" s="137"/>
      <c r="AN31" s="137"/>
      <c r="AO31" s="138"/>
      <c r="AP31" s="138"/>
      <c r="AQ31" s="89"/>
    </row>
    <row r="32" spans="1:43" ht="13.15" customHeight="1" x14ac:dyDescent="0.2">
      <c r="A32" s="19"/>
      <c r="B32" s="60"/>
      <c r="C32" s="210"/>
      <c r="D32" s="210"/>
      <c r="E32" s="155"/>
      <c r="F32" s="160"/>
      <c r="G32" s="160"/>
      <c r="H32" s="160"/>
      <c r="I32" s="160"/>
      <c r="J32" s="181"/>
      <c r="K32" s="182"/>
      <c r="L32" s="160"/>
      <c r="M32" s="160"/>
      <c r="N32" s="181"/>
      <c r="O32" s="98"/>
      <c r="P32" s="98"/>
      <c r="Q32" s="347"/>
      <c r="R32" s="348"/>
      <c r="S32" s="833"/>
      <c r="U32" s="89"/>
      <c r="V32" s="824"/>
      <c r="W32" s="1">
        <v>300</v>
      </c>
      <c r="X32" s="136"/>
      <c r="Y32" s="142"/>
      <c r="Z32" s="142"/>
      <c r="AA32" s="136"/>
      <c r="AB32" s="136"/>
      <c r="AC32" s="136"/>
      <c r="AD32" s="136"/>
      <c r="AE32" s="136"/>
      <c r="AF32" s="136"/>
      <c r="AG32" s="136"/>
      <c r="AH32" s="136"/>
      <c r="AI32" s="136"/>
      <c r="AJ32" s="136"/>
      <c r="AK32" s="136"/>
      <c r="AL32" s="137"/>
      <c r="AM32" s="137"/>
      <c r="AN32" s="137"/>
      <c r="AO32" s="138"/>
      <c r="AP32" s="138"/>
      <c r="AQ32" s="89"/>
    </row>
    <row r="33" spans="1:43" ht="13.15" customHeight="1" x14ac:dyDescent="0.2">
      <c r="A33" s="19" t="s">
        <v>256</v>
      </c>
      <c r="B33" s="60"/>
      <c r="C33" s="24">
        <v>100</v>
      </c>
      <c r="D33" s="24">
        <v>100</v>
      </c>
      <c r="E33" s="583" t="s">
        <v>528</v>
      </c>
      <c r="F33" s="549"/>
      <c r="G33" s="549"/>
      <c r="H33" s="549"/>
      <c r="I33" s="549"/>
      <c r="J33" s="550"/>
      <c r="K33" s="584" t="s">
        <v>418</v>
      </c>
      <c r="L33" s="549"/>
      <c r="M33" s="549"/>
      <c r="N33" s="550"/>
      <c r="O33" s="98" t="s">
        <v>236</v>
      </c>
      <c r="P33" s="98" t="s">
        <v>328</v>
      </c>
      <c r="Q33" s="585" t="s">
        <v>332</v>
      </c>
      <c r="R33" s="545"/>
      <c r="S33" s="833"/>
      <c r="T33" s="60" t="s">
        <v>524</v>
      </c>
      <c r="U33" s="89"/>
      <c r="V33" s="824"/>
      <c r="W33" s="1">
        <v>350</v>
      </c>
      <c r="X33" s="136"/>
      <c r="Y33" s="142"/>
      <c r="Z33" s="142"/>
      <c r="AA33" s="136"/>
      <c r="AB33" s="136"/>
      <c r="AC33" s="136"/>
      <c r="AD33" s="136"/>
      <c r="AE33" s="136"/>
      <c r="AF33" s="136"/>
      <c r="AG33" s="136"/>
      <c r="AH33" s="136"/>
      <c r="AI33" s="136"/>
      <c r="AJ33" s="136"/>
      <c r="AK33" s="136"/>
      <c r="AL33" s="136"/>
      <c r="AM33" s="137"/>
      <c r="AN33" s="137"/>
      <c r="AO33" s="138"/>
      <c r="AP33" s="138"/>
      <c r="AQ33" s="89"/>
    </row>
    <row r="34" spans="1:43" ht="13.15" customHeight="1" x14ac:dyDescent="0.2">
      <c r="A34" s="19"/>
      <c r="B34" s="60"/>
      <c r="C34" s="24"/>
      <c r="D34" s="24"/>
      <c r="E34" s="583"/>
      <c r="F34" s="549"/>
      <c r="G34" s="549"/>
      <c r="H34" s="549"/>
      <c r="I34" s="549"/>
      <c r="J34" s="550"/>
      <c r="K34" s="584"/>
      <c r="L34" s="549"/>
      <c r="M34" s="549"/>
      <c r="N34" s="550"/>
      <c r="O34" s="165"/>
      <c r="P34" s="98"/>
      <c r="Q34" s="585"/>
      <c r="R34" s="545"/>
      <c r="S34" s="833"/>
      <c r="U34" s="89"/>
      <c r="V34" s="824"/>
      <c r="W34" s="1">
        <v>400</v>
      </c>
      <c r="X34" s="140"/>
      <c r="Y34" s="142"/>
      <c r="Z34" s="142"/>
      <c r="AA34" s="140"/>
      <c r="AB34" s="140"/>
      <c r="AC34" s="140"/>
      <c r="AD34" s="140"/>
      <c r="AE34" s="140"/>
      <c r="AF34" s="140"/>
      <c r="AG34" s="140"/>
      <c r="AH34" s="140"/>
      <c r="AI34" s="140"/>
      <c r="AJ34" s="141"/>
      <c r="AK34" s="140"/>
      <c r="AL34" s="141"/>
      <c r="AM34" s="141"/>
      <c r="AN34" s="137"/>
      <c r="AO34" s="138"/>
      <c r="AP34" s="138"/>
      <c r="AQ34" s="89"/>
    </row>
    <row r="35" spans="1:43" ht="13.15" customHeight="1" x14ac:dyDescent="0.2">
      <c r="A35" s="19"/>
      <c r="B35" s="60"/>
      <c r="C35" s="24"/>
      <c r="D35" s="24"/>
      <c r="E35" s="583" t="s">
        <v>530</v>
      </c>
      <c r="F35" s="549"/>
      <c r="G35" s="549"/>
      <c r="H35" s="549"/>
      <c r="I35" s="549"/>
      <c r="J35" s="550"/>
      <c r="K35" s="584">
        <v>1.5415000000000001</v>
      </c>
      <c r="L35" s="549"/>
      <c r="M35" s="549"/>
      <c r="N35" s="550"/>
      <c r="O35" s="98" t="s">
        <v>236</v>
      </c>
      <c r="P35" s="98" t="s">
        <v>257</v>
      </c>
      <c r="Q35" s="585" t="s">
        <v>721</v>
      </c>
      <c r="R35" s="545"/>
      <c r="S35" s="833"/>
      <c r="U35" s="89"/>
      <c r="V35" s="824"/>
      <c r="W35" s="1">
        <v>450</v>
      </c>
      <c r="X35" s="141"/>
      <c r="Y35" s="142"/>
      <c r="Z35" s="142"/>
      <c r="AA35" s="140"/>
      <c r="AB35" s="140"/>
      <c r="AC35" s="140"/>
      <c r="AD35" s="140"/>
      <c r="AE35" s="140"/>
      <c r="AF35" s="140"/>
      <c r="AG35" s="140"/>
      <c r="AH35" s="140"/>
      <c r="AI35" s="140"/>
      <c r="AJ35" s="141"/>
      <c r="AK35" s="140"/>
      <c r="AL35" s="141"/>
      <c r="AM35" s="141"/>
      <c r="AN35" s="141"/>
      <c r="AO35" s="138"/>
      <c r="AP35" s="138"/>
      <c r="AQ35" s="89"/>
    </row>
    <row r="36" spans="1:43" ht="13.15" customHeight="1" x14ac:dyDescent="0.2">
      <c r="A36" s="19"/>
      <c r="B36" s="60"/>
      <c r="C36" s="24"/>
      <c r="D36" s="24"/>
      <c r="E36" s="583" t="s">
        <v>327</v>
      </c>
      <c r="F36" s="549"/>
      <c r="G36" s="549"/>
      <c r="H36" s="549"/>
      <c r="I36" s="549"/>
      <c r="J36" s="550"/>
      <c r="K36" s="584" t="s">
        <v>330</v>
      </c>
      <c r="L36" s="549"/>
      <c r="M36" s="549"/>
      <c r="N36" s="550"/>
      <c r="O36" s="98" t="s">
        <v>236</v>
      </c>
      <c r="P36" s="98" t="s">
        <v>257</v>
      </c>
      <c r="Q36" s="585" t="s">
        <v>329</v>
      </c>
      <c r="R36" s="545"/>
      <c r="S36" s="833"/>
      <c r="U36" s="89"/>
      <c r="V36" s="658"/>
      <c r="W36" s="1">
        <v>500</v>
      </c>
      <c r="X36" s="136"/>
      <c r="Y36" s="142"/>
      <c r="Z36" s="142"/>
      <c r="AA36" s="136"/>
      <c r="AB36" s="136"/>
      <c r="AC36" s="136"/>
      <c r="AD36" s="136"/>
      <c r="AE36" s="136"/>
      <c r="AF36" s="136"/>
      <c r="AG36" s="136"/>
      <c r="AH36" s="136"/>
      <c r="AI36" s="136"/>
      <c r="AJ36" s="139"/>
      <c r="AK36" s="136"/>
      <c r="AL36" s="136"/>
      <c r="AM36" s="136"/>
      <c r="AN36" s="136"/>
      <c r="AO36" s="136"/>
      <c r="AP36" s="138"/>
      <c r="AQ36" s="89"/>
    </row>
    <row r="37" spans="1:43" ht="13.15" customHeight="1" x14ac:dyDescent="0.2">
      <c r="A37" s="19" t="s">
        <v>258</v>
      </c>
      <c r="B37" s="60"/>
      <c r="C37" s="24">
        <v>15</v>
      </c>
      <c r="D37" s="24">
        <v>40</v>
      </c>
      <c r="E37" s="583" t="s">
        <v>271</v>
      </c>
      <c r="F37" s="549"/>
      <c r="G37" s="549"/>
      <c r="H37" s="549"/>
      <c r="I37" s="549"/>
      <c r="J37" s="550"/>
      <c r="K37" s="584" t="s">
        <v>323</v>
      </c>
      <c r="L37" s="549"/>
      <c r="M37" s="549"/>
      <c r="N37" s="550"/>
      <c r="O37" s="98" t="s">
        <v>236</v>
      </c>
      <c r="P37" s="98" t="s">
        <v>246</v>
      </c>
      <c r="Q37" s="585" t="s">
        <v>307</v>
      </c>
      <c r="R37" s="545"/>
      <c r="S37" s="833"/>
      <c r="U37" s="89"/>
      <c r="V37" s="658"/>
      <c r="W37" s="1">
        <v>600</v>
      </c>
      <c r="X37" s="136"/>
      <c r="Y37" s="142"/>
      <c r="Z37" s="142"/>
      <c r="AA37" s="136"/>
      <c r="AB37" s="136"/>
      <c r="AC37" s="136"/>
      <c r="AD37" s="136"/>
      <c r="AE37" s="136"/>
      <c r="AF37" s="136"/>
      <c r="AG37" s="136"/>
      <c r="AH37" s="136"/>
      <c r="AI37" s="136"/>
      <c r="AJ37" s="136"/>
      <c r="AK37" s="136"/>
      <c r="AL37" s="136"/>
      <c r="AM37" s="136"/>
      <c r="AN37" s="136"/>
      <c r="AO37" s="136"/>
      <c r="AP37" s="136"/>
      <c r="AQ37" s="89"/>
    </row>
    <row r="38" spans="1:43" ht="13.15" customHeight="1" x14ac:dyDescent="0.2">
      <c r="A38" s="19"/>
      <c r="B38" s="60"/>
      <c r="C38" s="24">
        <v>50</v>
      </c>
      <c r="D38" s="24">
        <v>100</v>
      </c>
      <c r="E38" s="713" t="s">
        <v>378</v>
      </c>
      <c r="F38" s="714"/>
      <c r="G38" s="714"/>
      <c r="H38" s="714"/>
      <c r="I38" s="714"/>
      <c r="J38" s="715"/>
      <c r="K38" s="720" t="s">
        <v>418</v>
      </c>
      <c r="L38" s="714"/>
      <c r="M38" s="714"/>
      <c r="N38" s="715"/>
      <c r="O38" s="110" t="s">
        <v>236</v>
      </c>
      <c r="P38" s="110" t="s">
        <v>328</v>
      </c>
      <c r="Q38" s="720" t="s">
        <v>332</v>
      </c>
      <c r="R38" s="835"/>
      <c r="S38" s="834"/>
      <c r="T38" s="95"/>
      <c r="U38" s="96"/>
      <c r="V38" s="21"/>
      <c r="W38"/>
      <c r="X38">
        <v>15</v>
      </c>
      <c r="Y38" s="453" t="s">
        <v>642</v>
      </c>
      <c r="Z38">
        <v>25</v>
      </c>
      <c r="AA38" s="453" t="s">
        <v>643</v>
      </c>
      <c r="AB38">
        <v>40</v>
      </c>
      <c r="AC38">
        <v>50</v>
      </c>
      <c r="AD38" s="228" t="s">
        <v>295</v>
      </c>
      <c r="AE38">
        <v>80</v>
      </c>
      <c r="AF38">
        <v>100</v>
      </c>
      <c r="AG38" s="228" t="s">
        <v>296</v>
      </c>
      <c r="AH38">
        <v>150</v>
      </c>
      <c r="AI38">
        <v>200</v>
      </c>
      <c r="AJ38">
        <v>250</v>
      </c>
      <c r="AK38">
        <v>300</v>
      </c>
      <c r="AL38">
        <v>350</v>
      </c>
      <c r="AM38" s="2">
        <v>400</v>
      </c>
      <c r="AN38" s="2">
        <v>450</v>
      </c>
      <c r="AO38" s="2">
        <v>500</v>
      </c>
      <c r="AP38" s="2">
        <v>600</v>
      </c>
      <c r="AQ38" s="89"/>
    </row>
    <row r="39" spans="1:43" ht="13.15" customHeight="1" x14ac:dyDescent="0.2">
      <c r="A39" s="26" t="s">
        <v>216</v>
      </c>
      <c r="B39" s="454"/>
      <c r="C39" s="29">
        <v>25</v>
      </c>
      <c r="D39" s="25">
        <v>100</v>
      </c>
      <c r="E39" s="561" t="s">
        <v>384</v>
      </c>
      <c r="F39" s="562"/>
      <c r="G39" s="562"/>
      <c r="H39" s="562"/>
      <c r="I39" s="562"/>
      <c r="J39" s="563"/>
      <c r="K39" s="564" t="s">
        <v>323</v>
      </c>
      <c r="L39" s="562"/>
      <c r="M39" s="562"/>
      <c r="N39" s="563"/>
      <c r="O39" s="97" t="s">
        <v>236</v>
      </c>
      <c r="P39" s="97" t="s">
        <v>246</v>
      </c>
      <c r="Q39" s="565" t="s">
        <v>307</v>
      </c>
      <c r="R39" s="576"/>
      <c r="S39" s="827" t="s">
        <v>357</v>
      </c>
      <c r="T39" s="828"/>
      <c r="U39" s="829"/>
      <c r="V39" s="21"/>
      <c r="X39" s="659" t="s">
        <v>275</v>
      </c>
      <c r="Y39" s="660"/>
      <c r="Z39" s="660"/>
      <c r="AA39" s="660"/>
      <c r="AB39" s="660"/>
      <c r="AC39" s="660"/>
      <c r="AD39" s="660"/>
      <c r="AE39" s="660"/>
      <c r="AF39" s="660"/>
      <c r="AG39" s="660"/>
      <c r="AH39" s="660"/>
      <c r="AI39" s="660"/>
      <c r="AJ39" s="660"/>
      <c r="AK39" s="660"/>
      <c r="AL39" s="660"/>
      <c r="AM39" s="660"/>
      <c r="AN39" s="660"/>
      <c r="AO39" s="660"/>
      <c r="AP39" s="660"/>
      <c r="AQ39" s="89"/>
    </row>
    <row r="40" spans="1:43" ht="13.15" customHeight="1" x14ac:dyDescent="0.2">
      <c r="A40" s="19"/>
      <c r="B40" s="60"/>
      <c r="C40" s="24"/>
      <c r="D40" s="23"/>
      <c r="E40" s="155"/>
      <c r="F40" s="160"/>
      <c r="G40" s="160"/>
      <c r="H40" s="160"/>
      <c r="I40" s="160"/>
      <c r="J40" s="181"/>
      <c r="K40" s="182"/>
      <c r="L40" s="160"/>
      <c r="M40" s="160"/>
      <c r="N40" s="181"/>
      <c r="O40" s="98"/>
      <c r="P40" s="98"/>
      <c r="Q40" s="347"/>
      <c r="R40" s="348"/>
      <c r="S40" s="830"/>
      <c r="T40" s="831"/>
      <c r="U40" s="832"/>
      <c r="V40" s="21"/>
      <c r="AQ40" s="89"/>
    </row>
    <row r="41" spans="1:43" ht="13.15" customHeight="1" x14ac:dyDescent="0.2">
      <c r="A41" s="20"/>
      <c r="B41" s="424"/>
      <c r="C41" s="28"/>
      <c r="D41" s="27"/>
      <c r="E41" s="320"/>
      <c r="F41" s="124"/>
      <c r="G41" s="124"/>
      <c r="H41" s="124"/>
      <c r="I41" s="124"/>
      <c r="J41" s="354"/>
      <c r="K41" s="321"/>
      <c r="L41" s="124"/>
      <c r="M41" s="124"/>
      <c r="N41" s="354"/>
      <c r="O41" s="110"/>
      <c r="P41" s="99"/>
      <c r="Q41" s="80"/>
      <c r="R41" s="80"/>
      <c r="S41" s="94"/>
      <c r="T41" s="95"/>
      <c r="U41" s="96"/>
      <c r="V41" s="21"/>
      <c r="AQ41" s="89"/>
    </row>
    <row r="42" spans="1:43" ht="13.15" customHeight="1" x14ac:dyDescent="0.2">
      <c r="A42" s="19" t="s">
        <v>215</v>
      </c>
      <c r="B42" s="60"/>
      <c r="C42" s="24">
        <v>15</v>
      </c>
      <c r="D42" s="24">
        <v>100</v>
      </c>
      <c r="E42" s="561" t="s">
        <v>247</v>
      </c>
      <c r="F42" s="562"/>
      <c r="G42" s="562"/>
      <c r="H42" s="562"/>
      <c r="I42" s="562"/>
      <c r="J42" s="563"/>
      <c r="K42" s="564" t="s">
        <v>536</v>
      </c>
      <c r="L42" s="562"/>
      <c r="M42" s="562"/>
      <c r="N42" s="563"/>
      <c r="O42" s="97" t="s">
        <v>236</v>
      </c>
      <c r="P42" s="97" t="s">
        <v>246</v>
      </c>
      <c r="Q42" s="565" t="s">
        <v>307</v>
      </c>
      <c r="R42" s="576"/>
      <c r="S42" s="109"/>
      <c r="T42" s="91"/>
      <c r="U42" s="92"/>
      <c r="V42" s="21"/>
      <c r="AQ42" s="89"/>
    </row>
    <row r="43" spans="1:43" ht="13.15" customHeight="1" x14ac:dyDescent="0.2">
      <c r="A43" s="19"/>
      <c r="B43" s="60"/>
      <c r="C43" s="24"/>
      <c r="D43" s="24"/>
      <c r="E43" s="155"/>
      <c r="F43" s="160"/>
      <c r="G43" s="160"/>
      <c r="H43" s="160"/>
      <c r="I43" s="160"/>
      <c r="J43" s="181"/>
      <c r="K43" s="182"/>
      <c r="L43" s="160"/>
      <c r="M43" s="160"/>
      <c r="N43" s="181"/>
      <c r="O43" s="98"/>
      <c r="P43" s="98"/>
      <c r="Q43" s="347"/>
      <c r="R43" s="161"/>
      <c r="S43" s="88"/>
      <c r="U43" s="89"/>
      <c r="V43" s="21"/>
      <c r="AQ43" s="89"/>
    </row>
    <row r="44" spans="1:43" ht="13.15" customHeight="1" x14ac:dyDescent="0.2">
      <c r="A44" s="20"/>
      <c r="B44" s="424"/>
      <c r="C44" s="28"/>
      <c r="D44" s="28"/>
      <c r="E44" s="320"/>
      <c r="F44" s="124"/>
      <c r="G44" s="124"/>
      <c r="H44" s="124"/>
      <c r="I44" s="124"/>
      <c r="J44" s="354"/>
      <c r="K44" s="321"/>
      <c r="L44" s="124"/>
      <c r="M44" s="124"/>
      <c r="N44" s="354"/>
      <c r="O44" s="110"/>
      <c r="P44" s="110"/>
      <c r="Q44" s="80"/>
      <c r="R44" s="80"/>
      <c r="S44" s="94"/>
      <c r="T44" s="95"/>
      <c r="U44" s="96"/>
      <c r="V44" s="21"/>
      <c r="AQ44" s="89"/>
    </row>
    <row r="45" spans="1:43" ht="13.15" customHeight="1" x14ac:dyDescent="0.2">
      <c r="A45" s="19" t="s">
        <v>214</v>
      </c>
      <c r="B45" s="60"/>
      <c r="C45" s="24">
        <v>15</v>
      </c>
      <c r="D45" s="24">
        <v>100</v>
      </c>
      <c r="E45" s="561" t="s">
        <v>483</v>
      </c>
      <c r="F45" s="562"/>
      <c r="G45" s="562"/>
      <c r="H45" s="562"/>
      <c r="I45" s="562"/>
      <c r="J45" s="563"/>
      <c r="K45" s="564" t="s">
        <v>318</v>
      </c>
      <c r="L45" s="562"/>
      <c r="M45" s="562"/>
      <c r="N45" s="563"/>
      <c r="O45" s="97" t="s">
        <v>422</v>
      </c>
      <c r="P45" s="97" t="s">
        <v>246</v>
      </c>
      <c r="Q45" s="565" t="s">
        <v>309</v>
      </c>
      <c r="R45" s="576"/>
      <c r="S45" s="109"/>
      <c r="T45" s="91"/>
      <c r="U45" s="92"/>
      <c r="V45" s="21"/>
      <c r="AQ45" s="89"/>
    </row>
    <row r="46" spans="1:43" ht="13.15" customHeight="1" x14ac:dyDescent="0.2">
      <c r="A46" s="19"/>
      <c r="B46" s="60"/>
      <c r="C46" s="24"/>
      <c r="D46" s="23"/>
      <c r="E46" s="155"/>
      <c r="F46" s="160"/>
      <c r="G46" s="160"/>
      <c r="H46" s="160"/>
      <c r="I46" s="160"/>
      <c r="J46" s="181"/>
      <c r="K46" s="182"/>
      <c r="L46" s="160"/>
      <c r="M46" s="160"/>
      <c r="N46" s="181"/>
      <c r="O46" s="98"/>
      <c r="P46" s="98"/>
      <c r="Q46" s="347"/>
      <c r="R46" s="161"/>
      <c r="S46" s="88"/>
      <c r="U46" s="89"/>
      <c r="V46" s="21"/>
      <c r="AQ46" s="89"/>
    </row>
    <row r="47" spans="1:43" ht="13.15" customHeight="1" x14ac:dyDescent="0.2">
      <c r="A47" s="19"/>
      <c r="B47" s="60"/>
      <c r="C47" s="28"/>
      <c r="D47" s="27"/>
      <c r="E47" s="320"/>
      <c r="F47" s="349"/>
      <c r="G47" s="349"/>
      <c r="H47" s="349"/>
      <c r="I47" s="349"/>
      <c r="J47" s="350"/>
      <c r="K47" s="321"/>
      <c r="L47" s="349"/>
      <c r="M47" s="349"/>
      <c r="N47" s="350"/>
      <c r="O47" s="110"/>
      <c r="P47" s="110"/>
      <c r="Q47" s="353"/>
      <c r="R47" s="352"/>
      <c r="S47" s="94"/>
      <c r="T47" s="95"/>
      <c r="U47" s="96"/>
      <c r="V47" s="21"/>
      <c r="AQ47" s="89"/>
    </row>
    <row r="48" spans="1:43" ht="13.15" customHeight="1" x14ac:dyDescent="0.2">
      <c r="A48" s="26" t="s">
        <v>213</v>
      </c>
      <c r="B48" s="435"/>
      <c r="C48" s="24">
        <v>15</v>
      </c>
      <c r="D48" s="24">
        <v>100</v>
      </c>
      <c r="E48" s="561" t="s">
        <v>514</v>
      </c>
      <c r="F48" s="562"/>
      <c r="G48" s="562"/>
      <c r="H48" s="562"/>
      <c r="I48" s="562"/>
      <c r="J48" s="563"/>
      <c r="K48" s="564" t="s">
        <v>319</v>
      </c>
      <c r="L48" s="562"/>
      <c r="M48" s="562"/>
      <c r="N48" s="563"/>
      <c r="O48" s="97" t="s">
        <v>422</v>
      </c>
      <c r="P48" s="98" t="s">
        <v>248</v>
      </c>
      <c r="Q48" s="565" t="s">
        <v>309</v>
      </c>
      <c r="R48" s="576"/>
      <c r="S48" s="109"/>
      <c r="T48" s="91"/>
      <c r="U48" s="92"/>
      <c r="V48" s="21"/>
      <c r="AQ48" s="89"/>
    </row>
    <row r="49" spans="1:43" ht="13.15" customHeight="1" x14ac:dyDescent="0.2">
      <c r="A49" s="19"/>
      <c r="B49" s="60"/>
      <c r="C49" s="24"/>
      <c r="D49" s="24"/>
      <c r="E49" s="155"/>
      <c r="F49" s="160"/>
      <c r="G49" s="160"/>
      <c r="H49" s="160"/>
      <c r="I49" s="160"/>
      <c r="J49" s="181"/>
      <c r="K49" s="182"/>
      <c r="L49" s="160"/>
      <c r="M49" s="160"/>
      <c r="N49" s="160"/>
      <c r="O49" s="98"/>
      <c r="P49" s="98"/>
      <c r="Q49" s="347"/>
      <c r="R49" s="161"/>
      <c r="S49" s="88"/>
      <c r="U49" s="89"/>
      <c r="V49" s="21"/>
      <c r="AQ49" s="89"/>
    </row>
    <row r="50" spans="1:43" ht="13.15" customHeight="1" x14ac:dyDescent="0.2">
      <c r="A50" s="20"/>
      <c r="B50" s="424"/>
      <c r="C50" s="28"/>
      <c r="D50" s="28"/>
      <c r="E50" s="320"/>
      <c r="F50" s="124"/>
      <c r="G50" s="124"/>
      <c r="H50" s="124"/>
      <c r="I50" s="124"/>
      <c r="J50" s="354"/>
      <c r="K50" s="321"/>
      <c r="L50" s="124"/>
      <c r="M50" s="124"/>
      <c r="N50" s="124"/>
      <c r="O50" s="110"/>
      <c r="P50" s="110"/>
      <c r="Q50" s="80"/>
      <c r="R50" s="80"/>
      <c r="S50" s="94"/>
      <c r="T50" s="95"/>
      <c r="U50" s="96"/>
      <c r="V50" s="21"/>
      <c r="AQ50" s="89"/>
    </row>
    <row r="51" spans="1:43" ht="13.15" customHeight="1" x14ac:dyDescent="0.2">
      <c r="A51" s="19" t="s">
        <v>264</v>
      </c>
      <c r="B51" s="60"/>
      <c r="C51" s="24" t="s">
        <v>313</v>
      </c>
      <c r="D51" s="24" t="s">
        <v>338</v>
      </c>
      <c r="E51" s="561" t="s">
        <v>630</v>
      </c>
      <c r="F51" s="562"/>
      <c r="G51" s="562"/>
      <c r="H51" s="562"/>
      <c r="I51" s="562"/>
      <c r="J51" s="563"/>
      <c r="K51" s="564" t="s">
        <v>655</v>
      </c>
      <c r="L51" s="562"/>
      <c r="M51" s="562"/>
      <c r="N51" s="563"/>
      <c r="O51" s="97" t="s">
        <v>422</v>
      </c>
      <c r="P51" s="97" t="s">
        <v>257</v>
      </c>
      <c r="Q51" s="565" t="s">
        <v>311</v>
      </c>
      <c r="R51" s="576"/>
      <c r="S51" s="109"/>
      <c r="T51" s="91"/>
      <c r="U51" s="92"/>
      <c r="V51" s="21"/>
      <c r="AQ51" s="89"/>
    </row>
    <row r="52" spans="1:43" ht="13.15" customHeight="1" x14ac:dyDescent="0.2">
      <c r="A52" s="20"/>
      <c r="B52" s="424"/>
      <c r="C52" s="28"/>
      <c r="D52" s="28"/>
      <c r="E52" s="320"/>
      <c r="F52" s="349"/>
      <c r="G52" s="349"/>
      <c r="H52" s="349"/>
      <c r="I52" s="349"/>
      <c r="J52" s="350"/>
      <c r="K52" s="321"/>
      <c r="L52" s="349"/>
      <c r="M52" s="349"/>
      <c r="N52" s="350"/>
      <c r="O52" s="146"/>
      <c r="P52" s="146"/>
      <c r="Q52" s="351"/>
      <c r="R52" s="352"/>
      <c r="S52" s="88"/>
      <c r="U52" s="89"/>
      <c r="V52" s="21"/>
      <c r="AQ52" s="89"/>
    </row>
    <row r="53" spans="1:43" ht="13.15" customHeight="1" x14ac:dyDescent="0.2">
      <c r="A53" s="19" t="s">
        <v>212</v>
      </c>
      <c r="B53" s="60"/>
      <c r="C53" s="24" t="s">
        <v>313</v>
      </c>
      <c r="D53" s="24" t="s">
        <v>338</v>
      </c>
      <c r="E53" s="561" t="s">
        <v>315</v>
      </c>
      <c r="F53" s="562"/>
      <c r="G53" s="562"/>
      <c r="H53" s="562"/>
      <c r="I53" s="562"/>
      <c r="J53" s="563"/>
      <c r="K53" s="564" t="s">
        <v>655</v>
      </c>
      <c r="L53" s="562"/>
      <c r="M53" s="562"/>
      <c r="N53" s="563"/>
      <c r="O53" s="97" t="s">
        <v>422</v>
      </c>
      <c r="P53" s="97" t="s">
        <v>257</v>
      </c>
      <c r="Q53" s="565" t="s">
        <v>316</v>
      </c>
      <c r="R53" s="576"/>
      <c r="S53" s="109"/>
      <c r="T53" s="91"/>
      <c r="U53" s="92"/>
      <c r="V53" s="21"/>
      <c r="AQ53" s="89"/>
    </row>
    <row r="54" spans="1:43" ht="13.15" customHeight="1" x14ac:dyDescent="0.2">
      <c r="A54" s="20"/>
      <c r="B54" s="424"/>
      <c r="C54" s="28"/>
      <c r="D54" s="28"/>
      <c r="E54" s="320"/>
      <c r="F54" s="349"/>
      <c r="G54" s="349"/>
      <c r="H54" s="349"/>
      <c r="I54" s="349"/>
      <c r="J54" s="350"/>
      <c r="K54" s="321"/>
      <c r="L54" s="349"/>
      <c r="M54" s="349"/>
      <c r="N54" s="350"/>
      <c r="O54" s="110"/>
      <c r="P54" s="110"/>
      <c r="Q54" s="353"/>
      <c r="R54" s="352"/>
      <c r="S54" s="94"/>
      <c r="T54" s="95"/>
      <c r="U54" s="96"/>
      <c r="V54" s="21"/>
      <c r="W54" s="310"/>
      <c r="X54" s="310"/>
      <c r="Y54" s="311"/>
      <c r="Z54" s="311"/>
      <c r="AA54" s="311"/>
      <c r="AB54" s="311"/>
      <c r="AC54" s="311"/>
      <c r="AD54" s="311"/>
      <c r="AE54" s="310"/>
      <c r="AF54" s="311"/>
      <c r="AG54" s="311"/>
      <c r="AH54" s="311"/>
      <c r="AI54" s="310"/>
      <c r="AJ54" s="310"/>
      <c r="AK54" s="310"/>
      <c r="AL54" s="311"/>
      <c r="AM54" s="310"/>
      <c r="AN54" s="161"/>
      <c r="AO54" s="161"/>
      <c r="AP54" s="311"/>
      <c r="AQ54" s="89"/>
    </row>
    <row r="55" spans="1:43" ht="13.15" customHeight="1" x14ac:dyDescent="0.2">
      <c r="A55" s="19" t="s">
        <v>211</v>
      </c>
      <c r="B55" s="60"/>
      <c r="C55" s="29">
        <v>15</v>
      </c>
      <c r="D55" s="25">
        <v>100</v>
      </c>
      <c r="E55" s="561" t="s">
        <v>263</v>
      </c>
      <c r="F55" s="562"/>
      <c r="G55" s="562"/>
      <c r="H55" s="562"/>
      <c r="I55" s="562"/>
      <c r="J55" s="563"/>
      <c r="K55" s="564" t="s">
        <v>724</v>
      </c>
      <c r="L55" s="562"/>
      <c r="M55" s="562"/>
      <c r="N55" s="563"/>
      <c r="O55" s="97" t="s">
        <v>422</v>
      </c>
      <c r="P55" s="97" t="s">
        <v>248</v>
      </c>
      <c r="Q55" s="565" t="s">
        <v>339</v>
      </c>
      <c r="R55" s="576"/>
      <c r="S55" s="825" t="s">
        <v>669</v>
      </c>
      <c r="T55" s="552"/>
      <c r="U55" s="826"/>
      <c r="V55" s="21"/>
      <c r="W55" s="624" t="s">
        <v>259</v>
      </c>
      <c r="X55" s="551" t="s">
        <v>197</v>
      </c>
      <c r="Y55" s="552"/>
      <c r="Z55" s="552"/>
      <c r="AA55" s="552"/>
      <c r="AB55" s="552"/>
      <c r="AC55" s="552"/>
      <c r="AD55" s="553"/>
      <c r="AE55" s="557" t="s">
        <v>241</v>
      </c>
      <c r="AF55" s="552"/>
      <c r="AG55" s="552"/>
      <c r="AH55" s="553"/>
      <c r="AI55" s="559" t="s">
        <v>243</v>
      </c>
      <c r="AJ55" s="559" t="s">
        <v>242</v>
      </c>
      <c r="AK55" s="557" t="s">
        <v>244</v>
      </c>
      <c r="AL55" s="553"/>
      <c r="AM55" s="557" t="s">
        <v>245</v>
      </c>
      <c r="AN55" s="626"/>
      <c r="AO55" s="626"/>
      <c r="AP55" s="627"/>
      <c r="AQ55" s="89"/>
    </row>
    <row r="56" spans="1:43" ht="13.15" customHeight="1" x14ac:dyDescent="0.2">
      <c r="A56" s="19"/>
      <c r="B56" s="60"/>
      <c r="C56" s="24"/>
      <c r="D56" s="23"/>
      <c r="E56" s="155"/>
      <c r="F56" s="160"/>
      <c r="G56" s="160"/>
      <c r="H56" s="160"/>
      <c r="I56" s="160"/>
      <c r="J56" s="181"/>
      <c r="K56" s="182"/>
      <c r="L56" s="160"/>
      <c r="M56" s="160"/>
      <c r="N56" s="181"/>
      <c r="O56" s="98"/>
      <c r="P56" s="98"/>
      <c r="Q56" s="183"/>
      <c r="R56" s="161"/>
      <c r="S56" s="93"/>
      <c r="T56" s="311"/>
      <c r="U56" s="371"/>
      <c r="V56" s="21"/>
      <c r="W56" s="625"/>
      <c r="X56" s="554"/>
      <c r="Y56" s="555"/>
      <c r="Z56" s="555"/>
      <c r="AA56" s="555"/>
      <c r="AB56" s="555"/>
      <c r="AC56" s="555"/>
      <c r="AD56" s="556"/>
      <c r="AE56" s="558"/>
      <c r="AF56" s="555"/>
      <c r="AG56" s="555"/>
      <c r="AH56" s="556"/>
      <c r="AI56" s="560"/>
      <c r="AJ56" s="560"/>
      <c r="AK56" s="558"/>
      <c r="AL56" s="556"/>
      <c r="AM56" s="628"/>
      <c r="AN56" s="586"/>
      <c r="AO56" s="586"/>
      <c r="AP56" s="629"/>
      <c r="AQ56" s="89"/>
    </row>
    <row r="57" spans="1:43" ht="13.15" customHeight="1" x14ac:dyDescent="0.2">
      <c r="A57" s="19"/>
      <c r="B57" s="60"/>
      <c r="C57" s="28"/>
      <c r="D57" s="27"/>
      <c r="E57" s="122"/>
      <c r="F57" s="123"/>
      <c r="G57" s="123"/>
      <c r="H57" s="123"/>
      <c r="I57" s="123"/>
      <c r="J57" s="112"/>
      <c r="K57" s="355"/>
      <c r="L57" s="123"/>
      <c r="M57" s="123"/>
      <c r="N57" s="112"/>
      <c r="O57" s="146"/>
      <c r="P57" s="146"/>
      <c r="Q57" s="123"/>
      <c r="R57" s="123"/>
      <c r="S57" s="88"/>
      <c r="U57" s="89"/>
      <c r="V57" s="21"/>
      <c r="W57" s="127" t="s">
        <v>390</v>
      </c>
      <c r="X57" s="630" t="s">
        <v>349</v>
      </c>
      <c r="Y57" s="552"/>
      <c r="Z57" s="552"/>
      <c r="AA57" s="552"/>
      <c r="AB57" s="552"/>
      <c r="AC57" s="552"/>
      <c r="AD57" s="553"/>
      <c r="AE57" s="572">
        <v>1.0345</v>
      </c>
      <c r="AF57" s="573"/>
      <c r="AG57" s="573"/>
      <c r="AH57" s="574"/>
      <c r="AI57" s="125" t="s">
        <v>236</v>
      </c>
      <c r="AJ57" s="125" t="s">
        <v>246</v>
      </c>
      <c r="AK57" s="575" t="s">
        <v>348</v>
      </c>
      <c r="AL57" s="576"/>
      <c r="AM57" s="90"/>
      <c r="AN57" s="91"/>
      <c r="AO57" s="91"/>
      <c r="AP57" s="129"/>
      <c r="AQ57" s="89"/>
    </row>
    <row r="58" spans="1:43" ht="13.15" customHeight="1" x14ac:dyDescent="0.2">
      <c r="A58" s="375" t="s">
        <v>547</v>
      </c>
      <c r="B58" s="462"/>
      <c r="C58" s="376"/>
      <c r="D58" s="376"/>
      <c r="E58" s="587"/>
      <c r="F58" s="588"/>
      <c r="G58" s="588"/>
      <c r="H58" s="588"/>
      <c r="I58" s="588"/>
      <c r="J58" s="589"/>
      <c r="K58" s="590"/>
      <c r="L58" s="588"/>
      <c r="M58" s="588"/>
      <c r="N58" s="589"/>
      <c r="O58" s="377" t="s">
        <v>422</v>
      </c>
      <c r="P58" s="377"/>
      <c r="Q58" s="591" t="s">
        <v>549</v>
      </c>
      <c r="R58" s="592"/>
      <c r="S58" s="378"/>
      <c r="T58" s="379"/>
      <c r="U58" s="380"/>
      <c r="V58" s="21"/>
      <c r="W58" s="128" t="s">
        <v>391</v>
      </c>
      <c r="X58" s="546" t="s">
        <v>350</v>
      </c>
      <c r="Y58" s="547"/>
      <c r="Z58" s="547"/>
      <c r="AA58" s="547"/>
      <c r="AB58" s="547"/>
      <c r="AC58" s="547"/>
      <c r="AD58" s="548"/>
      <c r="AE58" s="541">
        <v>1.0345</v>
      </c>
      <c r="AF58" s="542"/>
      <c r="AG58" s="542"/>
      <c r="AH58" s="543"/>
      <c r="AI58" s="126" t="s">
        <v>236</v>
      </c>
      <c r="AJ58" s="126" t="s">
        <v>246</v>
      </c>
      <c r="AK58" s="544" t="s">
        <v>348</v>
      </c>
      <c r="AL58" s="545"/>
      <c r="AM58" s="88"/>
      <c r="AP58" s="130"/>
      <c r="AQ58" s="89"/>
    </row>
    <row r="59" spans="1:43" ht="13.15" customHeight="1" x14ac:dyDescent="0.2">
      <c r="A59" s="26" t="s">
        <v>278</v>
      </c>
      <c r="B59" s="60"/>
      <c r="C59" s="24" t="s">
        <v>210</v>
      </c>
      <c r="D59" s="25">
        <v>50</v>
      </c>
      <c r="E59" s="561" t="s">
        <v>510</v>
      </c>
      <c r="F59" s="595"/>
      <c r="G59" s="595"/>
      <c r="H59" s="595"/>
      <c r="I59" s="595"/>
      <c r="J59" s="596"/>
      <c r="K59" s="597" t="s">
        <v>450</v>
      </c>
      <c r="L59" s="598"/>
      <c r="M59" s="598"/>
      <c r="N59" s="599"/>
      <c r="O59" s="97" t="s">
        <v>422</v>
      </c>
      <c r="P59" s="97" t="s">
        <v>283</v>
      </c>
      <c r="Q59" s="565" t="s">
        <v>266</v>
      </c>
      <c r="R59" s="566"/>
      <c r="S59" s="90"/>
      <c r="T59" s="91"/>
      <c r="U59" s="92"/>
      <c r="V59" s="21"/>
      <c r="W59" s="128" t="s">
        <v>345</v>
      </c>
      <c r="X59" s="546" t="s">
        <v>431</v>
      </c>
      <c r="Y59" s="547"/>
      <c r="Z59" s="547"/>
      <c r="AA59" s="547"/>
      <c r="AB59" s="547"/>
      <c r="AC59" s="547"/>
      <c r="AD59" s="548"/>
      <c r="AE59" s="541" t="s">
        <v>408</v>
      </c>
      <c r="AF59" s="542"/>
      <c r="AG59" s="542"/>
      <c r="AH59" s="543"/>
      <c r="AI59" s="126" t="s">
        <v>236</v>
      </c>
      <c r="AJ59" s="126" t="s">
        <v>328</v>
      </c>
      <c r="AK59" s="544" t="s">
        <v>347</v>
      </c>
      <c r="AL59" s="545"/>
      <c r="AM59" s="88"/>
      <c r="AP59" s="130"/>
      <c r="AQ59" s="89"/>
    </row>
    <row r="60" spans="1:43" ht="13.15" customHeight="1" x14ac:dyDescent="0.2">
      <c r="A60" s="178" t="s">
        <v>279</v>
      </c>
      <c r="B60" s="374"/>
      <c r="C60" s="24">
        <v>80</v>
      </c>
      <c r="D60" s="23" t="s">
        <v>277</v>
      </c>
      <c r="E60" s="619" t="s">
        <v>508</v>
      </c>
      <c r="F60" s="620"/>
      <c r="G60" s="620"/>
      <c r="H60" s="620"/>
      <c r="I60" s="620"/>
      <c r="J60" s="621"/>
      <c r="K60" s="567" t="s">
        <v>450</v>
      </c>
      <c r="L60" s="568"/>
      <c r="M60" s="568"/>
      <c r="N60" s="569"/>
      <c r="O60" s="98" t="s">
        <v>422</v>
      </c>
      <c r="P60" s="98" t="s">
        <v>283</v>
      </c>
      <c r="Q60" s="570" t="s">
        <v>266</v>
      </c>
      <c r="R60" s="571"/>
      <c r="S60" s="88"/>
      <c r="U60" s="89"/>
      <c r="V60" s="21"/>
      <c r="W60" s="128" t="s">
        <v>346</v>
      </c>
      <c r="X60" s="546" t="s">
        <v>432</v>
      </c>
      <c r="Y60" s="547"/>
      <c r="Z60" s="547"/>
      <c r="AA60" s="547"/>
      <c r="AB60" s="547"/>
      <c r="AC60" s="547"/>
      <c r="AD60" s="548"/>
      <c r="AE60" s="541" t="s">
        <v>408</v>
      </c>
      <c r="AF60" s="542"/>
      <c r="AG60" s="542"/>
      <c r="AH60" s="543"/>
      <c r="AI60" s="126" t="s">
        <v>236</v>
      </c>
      <c r="AJ60" s="126" t="s">
        <v>328</v>
      </c>
      <c r="AK60" s="544" t="s">
        <v>347</v>
      </c>
      <c r="AL60" s="545"/>
      <c r="AM60" s="329" t="s">
        <v>631</v>
      </c>
      <c r="AP60" s="130"/>
      <c r="AQ60" s="89"/>
    </row>
    <row r="61" spans="1:43" ht="13.15" customHeight="1" x14ac:dyDescent="0.2">
      <c r="A61" s="178" t="s">
        <v>280</v>
      </c>
      <c r="B61" s="374"/>
      <c r="C61" s="24"/>
      <c r="D61" s="23"/>
      <c r="E61" s="184"/>
      <c r="F61" s="179"/>
      <c r="G61" s="179"/>
      <c r="H61" s="179"/>
      <c r="I61" s="179"/>
      <c r="J61" s="179"/>
      <c r="K61" s="179"/>
      <c r="L61" s="179"/>
      <c r="M61" s="179"/>
      <c r="N61" s="179"/>
      <c r="O61" s="179"/>
      <c r="P61" s="179"/>
      <c r="Q61" s="179"/>
      <c r="R61" s="180"/>
      <c r="S61" s="88"/>
      <c r="U61" s="89"/>
      <c r="V61" s="21"/>
      <c r="W61" s="128" t="s">
        <v>328</v>
      </c>
      <c r="X61" s="546" t="s">
        <v>395</v>
      </c>
      <c r="Y61" s="547"/>
      <c r="Z61" s="547"/>
      <c r="AA61" s="547"/>
      <c r="AB61" s="547"/>
      <c r="AC61" s="547"/>
      <c r="AD61" s="548"/>
      <c r="AE61" s="541" t="s">
        <v>417</v>
      </c>
      <c r="AF61" s="542"/>
      <c r="AG61" s="542"/>
      <c r="AH61" s="543"/>
      <c r="AI61" s="126" t="s">
        <v>236</v>
      </c>
      <c r="AJ61" s="126" t="s">
        <v>328</v>
      </c>
      <c r="AK61" s="544" t="s">
        <v>347</v>
      </c>
      <c r="AL61" s="545"/>
      <c r="AM61" s="329" t="s">
        <v>631</v>
      </c>
      <c r="AP61" s="130"/>
      <c r="AQ61" s="89"/>
    </row>
    <row r="62" spans="1:43" ht="13.15" customHeight="1" x14ac:dyDescent="0.2">
      <c r="A62" s="178" t="s">
        <v>281</v>
      </c>
      <c r="B62" s="374"/>
      <c r="C62" s="24"/>
      <c r="D62" s="23"/>
      <c r="E62" s="155"/>
      <c r="F62" s="80"/>
      <c r="G62" s="80"/>
      <c r="H62" s="80"/>
      <c r="I62" s="80"/>
      <c r="J62" s="80"/>
      <c r="K62" s="80"/>
      <c r="L62" s="80"/>
      <c r="M62" s="80"/>
      <c r="N62" s="80"/>
      <c r="O62" s="80"/>
      <c r="P62" s="80"/>
      <c r="Q62" s="80"/>
      <c r="R62" s="80"/>
      <c r="S62" s="88"/>
      <c r="U62" s="89"/>
      <c r="V62" s="21"/>
      <c r="W62" s="128"/>
      <c r="X62" s="260"/>
      <c r="Y62" s="160"/>
      <c r="Z62" s="160"/>
      <c r="AA62" s="160"/>
      <c r="AB62" s="160"/>
      <c r="AE62" s="541"/>
      <c r="AF62" s="542"/>
      <c r="AG62" s="542"/>
      <c r="AH62" s="543"/>
      <c r="AI62" s="126"/>
      <c r="AJ62" s="126"/>
      <c r="AK62" s="544"/>
      <c r="AL62" s="545"/>
      <c r="AM62" s="88"/>
      <c r="AP62" s="130"/>
      <c r="AQ62" s="89"/>
    </row>
    <row r="63" spans="1:43" ht="13.15" customHeight="1" x14ac:dyDescent="0.2">
      <c r="A63" s="178" t="s">
        <v>282</v>
      </c>
      <c r="B63" s="374"/>
      <c r="C63" s="23"/>
      <c r="D63" s="22"/>
      <c r="E63" s="155"/>
      <c r="F63" s="80"/>
      <c r="G63" s="80"/>
      <c r="H63" s="80"/>
      <c r="I63" s="80"/>
      <c r="J63" s="80"/>
      <c r="K63" s="80"/>
      <c r="L63" s="80"/>
      <c r="M63" s="80"/>
      <c r="N63" s="80"/>
      <c r="O63" s="80"/>
      <c r="P63" s="80"/>
      <c r="Q63" s="80"/>
      <c r="R63" s="80"/>
      <c r="S63" s="94"/>
      <c r="T63" s="95"/>
      <c r="U63" s="96"/>
      <c r="V63" s="21"/>
      <c r="W63" s="132"/>
      <c r="X63" s="94"/>
      <c r="Y63" s="95"/>
      <c r="Z63" s="95"/>
      <c r="AA63" s="95"/>
      <c r="AB63" s="95"/>
      <c r="AC63" s="95"/>
      <c r="AD63" s="133"/>
      <c r="AE63" s="134"/>
      <c r="AF63" s="95"/>
      <c r="AG63" s="95"/>
      <c r="AH63" s="133"/>
      <c r="AI63" s="135"/>
      <c r="AJ63" s="135"/>
      <c r="AK63" s="134"/>
      <c r="AL63" s="131"/>
      <c r="AM63" s="95"/>
      <c r="AN63" s="95"/>
      <c r="AO63" s="95"/>
      <c r="AP63" s="131"/>
      <c r="AQ63" s="89"/>
    </row>
    <row r="64" spans="1:43" ht="13.15" customHeight="1" x14ac:dyDescent="0.2">
      <c r="A64" s="741" t="s">
        <v>689</v>
      </c>
      <c r="B64" s="742"/>
      <c r="C64" s="689"/>
      <c r="D64" s="689"/>
      <c r="E64" s="689"/>
      <c r="F64" s="689"/>
      <c r="G64" s="689"/>
      <c r="H64" s="689"/>
      <c r="I64" s="689"/>
      <c r="J64" s="689"/>
      <c r="K64" s="689"/>
      <c r="L64" s="689"/>
      <c r="M64" s="689"/>
      <c r="N64" s="689"/>
      <c r="O64" s="689"/>
      <c r="P64" s="689"/>
      <c r="Q64" s="689"/>
      <c r="R64" s="743"/>
      <c r="S64" s="327" t="s">
        <v>479</v>
      </c>
      <c r="T64" s="91"/>
      <c r="U64" s="92"/>
      <c r="V64" s="21"/>
      <c r="AQ64" s="89"/>
    </row>
    <row r="65" spans="1:43" ht="13.15" customHeight="1" x14ac:dyDescent="0.2">
      <c r="A65" s="744"/>
      <c r="B65" s="692"/>
      <c r="C65" s="692"/>
      <c r="D65" s="692"/>
      <c r="E65" s="692"/>
      <c r="F65" s="692"/>
      <c r="G65" s="692"/>
      <c r="H65" s="692"/>
      <c r="I65" s="692"/>
      <c r="J65" s="692"/>
      <c r="K65" s="692"/>
      <c r="L65" s="692"/>
      <c r="M65" s="692"/>
      <c r="N65" s="692"/>
      <c r="O65" s="692"/>
      <c r="P65" s="692"/>
      <c r="Q65" s="692"/>
      <c r="R65" s="745"/>
      <c r="S65" s="93" t="s">
        <v>480</v>
      </c>
      <c r="U65" s="89"/>
      <c r="V65" s="21"/>
      <c r="AQ65" s="89"/>
    </row>
    <row r="66" spans="1:43" ht="13.15" customHeight="1" x14ac:dyDescent="0.2">
      <c r="A66" s="744"/>
      <c r="B66" s="692"/>
      <c r="C66" s="692"/>
      <c r="D66" s="692"/>
      <c r="E66" s="692"/>
      <c r="F66" s="692"/>
      <c r="G66" s="692"/>
      <c r="H66" s="692"/>
      <c r="I66" s="692"/>
      <c r="J66" s="692"/>
      <c r="K66" s="692"/>
      <c r="L66" s="692"/>
      <c r="M66" s="692"/>
      <c r="N66" s="692"/>
      <c r="O66" s="692"/>
      <c r="P66" s="692"/>
      <c r="Q66" s="692"/>
      <c r="R66" s="745"/>
      <c r="S66" s="93" t="s">
        <v>486</v>
      </c>
      <c r="U66" s="89"/>
      <c r="V66" s="21"/>
      <c r="AQ66" s="89"/>
    </row>
    <row r="67" spans="1:43" ht="13.15" customHeight="1" x14ac:dyDescent="0.2">
      <c r="A67" s="744"/>
      <c r="B67" s="692"/>
      <c r="C67" s="692"/>
      <c r="D67" s="692"/>
      <c r="E67" s="692"/>
      <c r="F67" s="692"/>
      <c r="G67" s="692"/>
      <c r="H67" s="692"/>
      <c r="I67" s="692"/>
      <c r="J67" s="692"/>
      <c r="K67" s="692"/>
      <c r="L67" s="692"/>
      <c r="M67" s="692"/>
      <c r="N67" s="692"/>
      <c r="O67" s="692"/>
      <c r="P67" s="692"/>
      <c r="Q67" s="692"/>
      <c r="R67" s="745"/>
      <c r="S67" s="93" t="s">
        <v>487</v>
      </c>
      <c r="U67" s="89"/>
      <c r="V67" s="21"/>
      <c r="AQ67" s="89"/>
    </row>
    <row r="68" spans="1:43" ht="13.15" customHeight="1" x14ac:dyDescent="0.2">
      <c r="A68" s="744"/>
      <c r="B68" s="692"/>
      <c r="C68" s="692"/>
      <c r="D68" s="692"/>
      <c r="E68" s="692"/>
      <c r="F68" s="692"/>
      <c r="G68" s="692"/>
      <c r="H68" s="692"/>
      <c r="I68" s="692"/>
      <c r="J68" s="692"/>
      <c r="K68" s="692"/>
      <c r="L68" s="692"/>
      <c r="M68" s="692"/>
      <c r="N68" s="692"/>
      <c r="O68" s="692"/>
      <c r="P68" s="692"/>
      <c r="Q68" s="692"/>
      <c r="R68" s="745"/>
      <c r="S68" s="93" t="s">
        <v>488</v>
      </c>
      <c r="U68" s="89"/>
      <c r="V68" s="21"/>
      <c r="AQ68" s="89"/>
    </row>
    <row r="69" spans="1:43" ht="13.15" customHeight="1" x14ac:dyDescent="0.2">
      <c r="A69" s="744"/>
      <c r="B69" s="692"/>
      <c r="C69" s="692"/>
      <c r="D69" s="692"/>
      <c r="E69" s="692"/>
      <c r="F69" s="692"/>
      <c r="G69" s="692"/>
      <c r="H69" s="692"/>
      <c r="I69" s="692"/>
      <c r="J69" s="692"/>
      <c r="K69" s="692"/>
      <c r="L69" s="692"/>
      <c r="M69" s="692"/>
      <c r="N69" s="692"/>
      <c r="O69" s="692"/>
      <c r="P69" s="692"/>
      <c r="Q69" s="692"/>
      <c r="R69" s="745"/>
      <c r="S69" s="60" t="s">
        <v>499</v>
      </c>
      <c r="U69" s="89"/>
      <c r="V69" s="21"/>
      <c r="AQ69" s="89"/>
    </row>
    <row r="70" spans="1:43" ht="13.15" customHeight="1" x14ac:dyDescent="0.2">
      <c r="A70" s="622" t="s">
        <v>535</v>
      </c>
      <c r="B70" s="623"/>
      <c r="C70" s="623"/>
      <c r="D70" s="623"/>
      <c r="E70" s="623"/>
      <c r="F70" s="623"/>
      <c r="G70" s="623"/>
      <c r="H70" s="623"/>
      <c r="I70" s="623"/>
      <c r="J70" s="623"/>
      <c r="K70" s="623"/>
      <c r="L70" s="623"/>
      <c r="M70" s="623"/>
      <c r="N70" s="623"/>
      <c r="O70" s="623"/>
      <c r="P70" s="623"/>
      <c r="Q70" s="623"/>
      <c r="R70" s="623"/>
      <c r="S70" s="93" t="s">
        <v>498</v>
      </c>
      <c r="U70" s="89"/>
      <c r="V70" s="21"/>
      <c r="AQ70" s="89"/>
    </row>
    <row r="71" spans="1:43" ht="13.15" customHeight="1" x14ac:dyDescent="0.2">
      <c r="A71" s="19" t="s">
        <v>260</v>
      </c>
      <c r="B71" s="435"/>
      <c r="C71" s="583" t="s">
        <v>269</v>
      </c>
      <c r="D71" s="602"/>
      <c r="E71" s="602"/>
      <c r="F71" s="602"/>
      <c r="G71" s="602"/>
      <c r="H71" s="602"/>
      <c r="I71" s="602"/>
      <c r="J71" s="602"/>
      <c r="K71" s="602"/>
      <c r="L71" s="602"/>
      <c r="M71" s="602"/>
      <c r="N71" s="602"/>
      <c r="O71" s="602"/>
      <c r="P71" s="602"/>
      <c r="Q71" s="602"/>
      <c r="R71" s="602"/>
      <c r="S71" s="93" t="s">
        <v>489</v>
      </c>
      <c r="U71" s="89"/>
      <c r="V71" s="21"/>
      <c r="AQ71" s="89"/>
    </row>
    <row r="72" spans="1:43" ht="13.15" customHeight="1" x14ac:dyDescent="0.2">
      <c r="A72" s="375" t="s">
        <v>478</v>
      </c>
      <c r="B72" s="463"/>
      <c r="C72" s="587" t="s">
        <v>269</v>
      </c>
      <c r="D72" s="609"/>
      <c r="E72" s="609"/>
      <c r="F72" s="609"/>
      <c r="G72" s="609"/>
      <c r="H72" s="609"/>
      <c r="I72" s="609"/>
      <c r="J72" s="609"/>
      <c r="K72" s="609"/>
      <c r="L72" s="609"/>
      <c r="M72" s="609"/>
      <c r="N72" s="609"/>
      <c r="O72" s="609"/>
      <c r="P72" s="609"/>
      <c r="Q72" s="609"/>
      <c r="R72" s="609"/>
      <c r="S72" s="93" t="s">
        <v>490</v>
      </c>
      <c r="U72" s="89"/>
      <c r="V72" s="21"/>
      <c r="AQ72" s="89"/>
    </row>
    <row r="73" spans="1:43" ht="13.15" customHeight="1" x14ac:dyDescent="0.2">
      <c r="A73" s="19" t="s">
        <v>372</v>
      </c>
      <c r="B73" s="60"/>
      <c r="C73" s="583" t="s">
        <v>320</v>
      </c>
      <c r="D73" s="600"/>
      <c r="E73" s="600"/>
      <c r="F73" s="600"/>
      <c r="G73" s="600"/>
      <c r="H73" s="600"/>
      <c r="I73" s="600"/>
      <c r="J73" s="600"/>
      <c r="K73" s="600"/>
      <c r="L73" s="600"/>
      <c r="M73" s="600"/>
      <c r="N73" s="600"/>
      <c r="O73" s="600"/>
      <c r="P73" s="600"/>
      <c r="Q73" s="600"/>
      <c r="R73" s="600"/>
      <c r="S73" s="93" t="s">
        <v>491</v>
      </c>
      <c r="U73" s="89"/>
      <c r="V73" s="21"/>
      <c r="AQ73" s="89"/>
    </row>
    <row r="74" spans="1:43" ht="13.15" customHeight="1" x14ac:dyDescent="0.2">
      <c r="A74" s="19" t="s">
        <v>373</v>
      </c>
      <c r="B74" s="60"/>
      <c r="C74" s="610" t="s">
        <v>626</v>
      </c>
      <c r="D74" s="611"/>
      <c r="E74" s="611"/>
      <c r="F74" s="611"/>
      <c r="G74" s="611"/>
      <c r="H74" s="611"/>
      <c r="I74" s="611"/>
      <c r="J74" s="611"/>
      <c r="K74" s="611"/>
      <c r="L74" s="611"/>
      <c r="M74" s="611"/>
      <c r="N74" s="611"/>
      <c r="O74" s="611"/>
      <c r="P74" s="611"/>
      <c r="Q74" s="611"/>
      <c r="R74" s="612"/>
      <c r="S74" s="93" t="s">
        <v>492</v>
      </c>
      <c r="U74" s="89"/>
      <c r="V74" s="21"/>
      <c r="AQ74" s="89"/>
    </row>
    <row r="75" spans="1:43" ht="13.15" customHeight="1" x14ac:dyDescent="0.2">
      <c r="A75" s="19" t="s">
        <v>261</v>
      </c>
      <c r="B75" s="60"/>
      <c r="C75" s="610" t="s">
        <v>321</v>
      </c>
      <c r="D75" s="613"/>
      <c r="E75" s="613"/>
      <c r="F75" s="613"/>
      <c r="G75" s="613"/>
      <c r="H75" s="613"/>
      <c r="I75" s="613"/>
      <c r="J75" s="613"/>
      <c r="K75" s="613"/>
      <c r="L75" s="613"/>
      <c r="M75" s="613"/>
      <c r="N75" s="613"/>
      <c r="O75" s="613"/>
      <c r="P75" s="613"/>
      <c r="Q75" s="613"/>
      <c r="R75" s="614"/>
      <c r="S75" s="93" t="s">
        <v>493</v>
      </c>
      <c r="U75" s="89"/>
      <c r="V75" s="21"/>
      <c r="AQ75" s="89"/>
    </row>
    <row r="76" spans="1:43" ht="13.15" customHeight="1" x14ac:dyDescent="0.2">
      <c r="A76" s="19" t="s">
        <v>262</v>
      </c>
      <c r="B76" s="60"/>
      <c r="C76" s="583" t="s">
        <v>324</v>
      </c>
      <c r="D76" s="600"/>
      <c r="E76" s="600"/>
      <c r="F76" s="600"/>
      <c r="G76" s="600"/>
      <c r="H76" s="600"/>
      <c r="I76" s="600"/>
      <c r="J76" s="600"/>
      <c r="K76" s="600"/>
      <c r="L76" s="600"/>
      <c r="M76" s="600"/>
      <c r="N76" s="600"/>
      <c r="O76" s="600"/>
      <c r="P76" s="600"/>
      <c r="Q76" s="600"/>
      <c r="R76" s="600"/>
      <c r="S76" s="88"/>
      <c r="U76" s="89"/>
      <c r="V76" s="21"/>
      <c r="AQ76" s="89"/>
    </row>
    <row r="77" spans="1:43" ht="13.15" customHeight="1" x14ac:dyDescent="0.2">
      <c r="A77" s="19"/>
      <c r="B77" s="60"/>
      <c r="C77" s="583" t="s">
        <v>228</v>
      </c>
      <c r="D77" s="600"/>
      <c r="E77" s="600"/>
      <c r="F77" s="600"/>
      <c r="G77" s="600"/>
      <c r="H77" s="600"/>
      <c r="I77" s="600"/>
      <c r="J77" s="600"/>
      <c r="K77" s="600"/>
      <c r="L77" s="600"/>
      <c r="M77" s="600"/>
      <c r="N77" s="600"/>
      <c r="O77" s="600"/>
      <c r="P77" s="600"/>
      <c r="Q77" s="600"/>
      <c r="R77" s="600"/>
      <c r="S77" s="88"/>
      <c r="U77" s="89"/>
      <c r="V77" s="21"/>
      <c r="AQ77" s="89"/>
    </row>
    <row r="78" spans="1:43" ht="13.15" customHeight="1" thickBot="1" x14ac:dyDescent="0.25">
      <c r="A78" s="19"/>
      <c r="B78" s="60"/>
      <c r="C78" s="583" t="s">
        <v>270</v>
      </c>
      <c r="D78" s="602"/>
      <c r="E78" s="602"/>
      <c r="F78" s="602"/>
      <c r="G78" s="602"/>
      <c r="H78" s="602"/>
      <c r="I78" s="602"/>
      <c r="J78" s="602"/>
      <c r="K78" s="602"/>
      <c r="L78" s="602"/>
      <c r="M78" s="602"/>
      <c r="N78" s="602"/>
      <c r="O78" s="602"/>
      <c r="P78" s="602"/>
      <c r="Q78" s="602"/>
      <c r="R78" s="602"/>
      <c r="S78" s="326"/>
      <c r="T78" s="143"/>
      <c r="U78" s="144"/>
      <c r="V78" s="21"/>
      <c r="W78" s="143"/>
      <c r="X78" s="143"/>
      <c r="Y78" s="143"/>
      <c r="Z78" s="143"/>
      <c r="AA78" s="143"/>
      <c r="AB78" s="143"/>
      <c r="AC78" s="143"/>
      <c r="AD78" s="143"/>
      <c r="AE78" s="143"/>
      <c r="AF78" s="143"/>
      <c r="AG78" s="143"/>
      <c r="AH78" s="143"/>
      <c r="AI78" s="143"/>
      <c r="AJ78" s="143"/>
      <c r="AK78" s="143"/>
      <c r="AL78" s="143"/>
      <c r="AM78" s="143"/>
      <c r="AN78" s="143"/>
      <c r="AO78" s="143"/>
      <c r="AP78" s="143"/>
      <c r="AQ78" s="144"/>
    </row>
    <row r="79" spans="1:43" ht="13.15" customHeight="1" x14ac:dyDescent="0.2">
      <c r="A79" s="162" t="s">
        <v>209</v>
      </c>
      <c r="B79" s="464"/>
      <c r="C79" s="18" t="s">
        <v>208</v>
      </c>
      <c r="D79" s="16"/>
      <c r="E79" s="18" t="s">
        <v>207</v>
      </c>
      <c r="F79" s="18"/>
      <c r="G79" s="18" t="s">
        <v>206</v>
      </c>
      <c r="H79" s="17" t="e">
        <f>#REF!</f>
        <v>#REF!</v>
      </c>
      <c r="I79" s="16"/>
      <c r="J79" s="16"/>
      <c r="K79" s="16"/>
      <c r="L79" s="16"/>
      <c r="M79" s="16"/>
      <c r="N79" s="16"/>
      <c r="O79" s="16"/>
      <c r="P79" s="16"/>
      <c r="Q79" s="16"/>
      <c r="R79" s="16"/>
      <c r="S79" s="103"/>
      <c r="T79" s="103"/>
      <c r="U79" s="145"/>
      <c r="V79" s="162" t="s">
        <v>209</v>
      </c>
      <c r="W79" s="16"/>
      <c r="X79" s="163"/>
      <c r="Y79" s="18" t="s">
        <v>208</v>
      </c>
      <c r="Z79" s="16"/>
      <c r="AA79" s="18" t="s">
        <v>207</v>
      </c>
      <c r="AB79" s="18"/>
      <c r="AC79" s="18" t="s">
        <v>206</v>
      </c>
      <c r="AD79" s="17" t="e">
        <f>H79</f>
        <v>#REF!</v>
      </c>
      <c r="AE79" s="16"/>
      <c r="AF79" s="16"/>
      <c r="AG79" s="16"/>
      <c r="AH79" s="16"/>
      <c r="AI79" s="16"/>
      <c r="AJ79" s="16"/>
      <c r="AK79" s="16"/>
      <c r="AL79" s="16"/>
      <c r="AM79" s="16"/>
      <c r="AN79" s="103"/>
      <c r="AO79" s="103"/>
      <c r="AP79" s="103"/>
      <c r="AQ79" s="145"/>
    </row>
    <row r="80" spans="1:43" ht="13.15" customHeight="1" thickBot="1" x14ac:dyDescent="0.25">
      <c r="A80" s="159" t="e">
        <f>#REF!</f>
        <v>#REF!</v>
      </c>
      <c r="B80" s="175"/>
      <c r="C80" s="603" t="e">
        <f>#REF!</f>
        <v>#REF!</v>
      </c>
      <c r="D80" s="604"/>
      <c r="E80" s="605" t="e">
        <f>#REF!</f>
        <v>#REF!</v>
      </c>
      <c r="F80" s="606"/>
      <c r="G80" s="15"/>
      <c r="H80" s="14"/>
      <c r="I80" s="14"/>
      <c r="J80" s="14"/>
      <c r="K80" s="14"/>
      <c r="L80" s="14"/>
      <c r="M80" s="14"/>
      <c r="N80" s="14"/>
      <c r="O80" s="14"/>
      <c r="P80" s="14"/>
      <c r="Q80" s="14"/>
      <c r="R80" s="14"/>
      <c r="S80" s="143"/>
      <c r="T80" s="143"/>
      <c r="U80" s="144"/>
      <c r="V80" s="121"/>
      <c r="W80" s="14" t="e">
        <f>A80</f>
        <v>#REF!</v>
      </c>
      <c r="X80" s="325"/>
      <c r="Y80" s="603" t="e">
        <f>C80</f>
        <v>#REF!</v>
      </c>
      <c r="Z80" s="607"/>
      <c r="AA80" s="605" t="e">
        <f>E80</f>
        <v>#REF!</v>
      </c>
      <c r="AB80" s="608"/>
      <c r="AC80" s="15"/>
      <c r="AD80" s="14"/>
      <c r="AE80" s="14"/>
      <c r="AF80" s="14"/>
      <c r="AG80" s="14"/>
      <c r="AH80" s="14"/>
      <c r="AI80" s="14"/>
      <c r="AJ80" s="14"/>
      <c r="AK80" s="14"/>
      <c r="AL80" s="14"/>
      <c r="AM80" s="14"/>
      <c r="AN80" s="143"/>
      <c r="AO80" s="143"/>
      <c r="AP80" s="143"/>
      <c r="AQ80" s="144"/>
    </row>
  </sheetData>
  <mergeCells count="135">
    <mergeCell ref="W55:W56"/>
    <mergeCell ref="X55:AD56"/>
    <mergeCell ref="AE55:AH56"/>
    <mergeCell ref="AI55:AI56"/>
    <mergeCell ref="AJ55:AJ56"/>
    <mergeCell ref="AK55:AL56"/>
    <mergeCell ref="AM55:AP56"/>
    <mergeCell ref="K42:N42"/>
    <mergeCell ref="K45:N45"/>
    <mergeCell ref="K51:N51"/>
    <mergeCell ref="Q42:R42"/>
    <mergeCell ref="Q45:R45"/>
    <mergeCell ref="E20:J20"/>
    <mergeCell ref="K20:N20"/>
    <mergeCell ref="Q20:R20"/>
    <mergeCell ref="Q24:R24"/>
    <mergeCell ref="Q29:R29"/>
    <mergeCell ref="E19:J19"/>
    <mergeCell ref="K19:N19"/>
    <mergeCell ref="Q19:R19"/>
    <mergeCell ref="E25:J25"/>
    <mergeCell ref="E24:J24"/>
    <mergeCell ref="E29:J29"/>
    <mergeCell ref="K24:N24"/>
    <mergeCell ref="K29:N29"/>
    <mergeCell ref="AF7:AH7"/>
    <mergeCell ref="C11:K11"/>
    <mergeCell ref="C17:D17"/>
    <mergeCell ref="E17:J18"/>
    <mergeCell ref="K17:N18"/>
    <mergeCell ref="O17:O18"/>
    <mergeCell ref="P17:P18"/>
    <mergeCell ref="Q17:R18"/>
    <mergeCell ref="S17:U18"/>
    <mergeCell ref="X18:AP18"/>
    <mergeCell ref="L10:U12"/>
    <mergeCell ref="L15:U16"/>
    <mergeCell ref="C7:D7"/>
    <mergeCell ref="J7:L7"/>
    <mergeCell ref="Y7:Z7"/>
    <mergeCell ref="AK60:AL60"/>
    <mergeCell ref="E37:J37"/>
    <mergeCell ref="K37:N37"/>
    <mergeCell ref="Q37:R37"/>
    <mergeCell ref="E48:J48"/>
    <mergeCell ref="K48:N48"/>
    <mergeCell ref="Q48:R48"/>
    <mergeCell ref="E53:J53"/>
    <mergeCell ref="K53:N53"/>
    <mergeCell ref="Q53:R53"/>
    <mergeCell ref="AK57:AL57"/>
    <mergeCell ref="S55:U55"/>
    <mergeCell ref="X39:AP39"/>
    <mergeCell ref="S39:U40"/>
    <mergeCell ref="Q51:R51"/>
    <mergeCell ref="E39:J39"/>
    <mergeCell ref="E42:J42"/>
    <mergeCell ref="S29:S38"/>
    <mergeCell ref="K35:N35"/>
    <mergeCell ref="E35:J35"/>
    <mergeCell ref="Q34:R34"/>
    <mergeCell ref="E38:J38"/>
    <mergeCell ref="K38:N38"/>
    <mergeCell ref="Q38:R38"/>
    <mergeCell ref="E30:J30"/>
    <mergeCell ref="K30:N30"/>
    <mergeCell ref="Q30:R30"/>
    <mergeCell ref="K36:N36"/>
    <mergeCell ref="E45:J45"/>
    <mergeCell ref="E51:J51"/>
    <mergeCell ref="K39:N39"/>
    <mergeCell ref="E34:J34"/>
    <mergeCell ref="K34:N34"/>
    <mergeCell ref="E36:J36"/>
    <mergeCell ref="Q36:R36"/>
    <mergeCell ref="AE61:AH61"/>
    <mergeCell ref="AK61:AL61"/>
    <mergeCell ref="X58:AD58"/>
    <mergeCell ref="AE58:AH58"/>
    <mergeCell ref="AK58:AL58"/>
    <mergeCell ref="O6:P6"/>
    <mergeCell ref="AK6:AL6"/>
    <mergeCell ref="A70:R70"/>
    <mergeCell ref="AE62:AH62"/>
    <mergeCell ref="AK62:AL62"/>
    <mergeCell ref="A64:R69"/>
    <mergeCell ref="E60:J60"/>
    <mergeCell ref="K60:N60"/>
    <mergeCell ref="Q60:R60"/>
    <mergeCell ref="X60:AD60"/>
    <mergeCell ref="AE60:AH60"/>
    <mergeCell ref="X57:AD57"/>
    <mergeCell ref="E59:J59"/>
    <mergeCell ref="K59:N59"/>
    <mergeCell ref="Q59:R59"/>
    <mergeCell ref="X59:AD59"/>
    <mergeCell ref="AE59:AH59"/>
    <mergeCell ref="AK59:AL59"/>
    <mergeCell ref="AE57:AH57"/>
    <mergeCell ref="Y80:Z80"/>
    <mergeCell ref="AA80:AB80"/>
    <mergeCell ref="C77:R77"/>
    <mergeCell ref="C78:R78"/>
    <mergeCell ref="C80:D80"/>
    <mergeCell ref="E80:F80"/>
    <mergeCell ref="C71:R71"/>
    <mergeCell ref="C72:R72"/>
    <mergeCell ref="C73:R73"/>
    <mergeCell ref="C74:R74"/>
    <mergeCell ref="C75:R75"/>
    <mergeCell ref="C76:R76"/>
    <mergeCell ref="X61:AD61"/>
    <mergeCell ref="E55:J55"/>
    <mergeCell ref="K55:N55"/>
    <mergeCell ref="Q55:R55"/>
    <mergeCell ref="Q35:R35"/>
    <mergeCell ref="V19:V37"/>
    <mergeCell ref="K25:N25"/>
    <mergeCell ref="Q25:R25"/>
    <mergeCell ref="E26:J26"/>
    <mergeCell ref="K26:N26"/>
    <mergeCell ref="Q26:R26"/>
    <mergeCell ref="E33:J33"/>
    <mergeCell ref="K33:N33"/>
    <mergeCell ref="Q33:R33"/>
    <mergeCell ref="E58:J58"/>
    <mergeCell ref="K58:N58"/>
    <mergeCell ref="Q58:R58"/>
    <mergeCell ref="E21:J21"/>
    <mergeCell ref="K21:N21"/>
    <mergeCell ref="Q21:R21"/>
    <mergeCell ref="E22:J22"/>
    <mergeCell ref="K22:N22"/>
    <mergeCell ref="Q22:R22"/>
    <mergeCell ref="Q39:R39"/>
  </mergeCells>
  <phoneticPr fontId="5" type="noConversion"/>
  <pageMargins left="0.70866141732283472" right="0.15748031496062992" top="0.51181102362204722" bottom="0.43307086614173229" header="0.27559055118110237" footer="0.27559055118110237"/>
  <pageSetup paperSize="9" scale="75" pageOrder="overThenDown" orientation="portrait" r:id="rId1"/>
  <headerFooter alignWithMargins="0">
    <oddHeader>&amp;LPIRS Vorlagen-Projekt&amp;C&amp;8Project: Template&amp;R&amp;G</oddHeader>
    <oddFooter xml:space="preserve">&amp;L&amp;8 &amp;F _&amp;A&amp;R&amp;8Page &amp;P+8 of [&amp;N+8] </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9C917-6E1F-427C-AF53-71435A675960}">
  <sheetPr codeName="Tabelle28"/>
  <dimension ref="A1:AQ80"/>
  <sheetViews>
    <sheetView showWhiteSpace="0" view="pageLayout" topLeftCell="A23" zoomScaleNormal="100" workbookViewId="0">
      <selection activeCell="K55" sqref="K55:N55"/>
    </sheetView>
  </sheetViews>
  <sheetFormatPr defaultColWidth="0" defaultRowHeight="12.75" x14ac:dyDescent="0.2"/>
  <cols>
    <col min="1" max="1" width="14.28515625" style="13" customWidth="1"/>
    <col min="2" max="2" width="3.5703125" style="13" customWidth="1"/>
    <col min="3" max="21" width="5.7109375" style="13" customWidth="1"/>
    <col min="22" max="22" width="4.140625" style="13" customWidth="1"/>
    <col min="23" max="23" width="6.140625" style="13" customWidth="1"/>
    <col min="24" max="42" width="5.7109375" style="13" customWidth="1"/>
    <col min="43" max="59" width="6.140625" style="13" customWidth="1"/>
    <col min="60" max="16384" width="0" style="13" hidden="1"/>
  </cols>
  <sheetData>
    <row r="1" spans="1:43" ht="13.15" customHeight="1" x14ac:dyDescent="0.2">
      <c r="A1" s="73"/>
      <c r="B1" s="72"/>
      <c r="C1" s="72"/>
      <c r="D1" s="71"/>
      <c r="E1" s="16"/>
      <c r="F1" s="16"/>
      <c r="G1" s="16"/>
      <c r="H1" s="16"/>
      <c r="I1" s="16"/>
      <c r="J1" s="16"/>
      <c r="K1" s="114" t="s">
        <v>253</v>
      </c>
      <c r="L1" s="116"/>
      <c r="M1" s="70"/>
      <c r="N1" s="16"/>
      <c r="O1" s="16"/>
      <c r="P1" s="16" t="s">
        <v>716</v>
      </c>
      <c r="Q1" s="69"/>
      <c r="R1" s="68" t="s">
        <v>230</v>
      </c>
      <c r="S1" s="68"/>
      <c r="T1" s="67" t="s">
        <v>343</v>
      </c>
      <c r="U1" s="66"/>
      <c r="V1" s="162"/>
      <c r="W1" s="16"/>
      <c r="X1" s="72"/>
      <c r="Y1" s="72"/>
      <c r="Z1" s="71"/>
      <c r="AA1" s="16"/>
      <c r="AB1" s="16"/>
      <c r="AC1" s="16"/>
      <c r="AD1" s="16"/>
      <c r="AE1" s="16"/>
      <c r="AF1" s="342"/>
      <c r="AG1" s="230" t="s">
        <v>253</v>
      </c>
      <c r="AH1" s="70"/>
      <c r="AI1" s="16"/>
      <c r="AJ1" s="16"/>
      <c r="AK1" s="68"/>
      <c r="AL1" s="16" t="str">
        <f>P1</f>
        <v>PT08</v>
      </c>
      <c r="AM1" s="69"/>
      <c r="AN1" s="68" t="s">
        <v>230</v>
      </c>
      <c r="AO1" s="68"/>
      <c r="AP1" s="67" t="str">
        <f>T1</f>
        <v>3E0 (1.0345)</v>
      </c>
      <c r="AQ1" s="66"/>
    </row>
    <row r="2" spans="1:43" ht="13.15" customHeight="1" x14ac:dyDescent="0.2">
      <c r="A2" s="63" t="s">
        <v>276</v>
      </c>
      <c r="B2" s="61"/>
      <c r="C2" s="62" t="s">
        <v>291</v>
      </c>
      <c r="D2" s="61"/>
      <c r="E2" s="60"/>
      <c r="F2" s="60"/>
      <c r="G2" s="60"/>
      <c r="H2" s="60"/>
      <c r="I2" s="60"/>
      <c r="J2" s="59"/>
      <c r="K2" s="100" t="s">
        <v>232</v>
      </c>
      <c r="L2" s="74"/>
      <c r="M2" s="81"/>
      <c r="N2" s="65"/>
      <c r="O2" s="65"/>
      <c r="P2" s="523">
        <v>107.6</v>
      </c>
      <c r="Q2" s="58" t="s">
        <v>231</v>
      </c>
      <c r="R2" s="65" t="s">
        <v>252</v>
      </c>
      <c r="S2" s="65"/>
      <c r="T2" s="81" t="s">
        <v>336</v>
      </c>
      <c r="U2" s="64"/>
      <c r="V2" s="19" t="s">
        <v>276</v>
      </c>
      <c r="W2" s="60"/>
      <c r="X2" s="61"/>
      <c r="Y2" s="62" t="str">
        <f>C2</f>
        <v>Condensate &amp; Steam (T ≥ 200°C ÷ T &lt; 325°C)</v>
      </c>
      <c r="Z2" s="61"/>
      <c r="AA2" s="60"/>
      <c r="AB2" s="60"/>
      <c r="AC2" s="60"/>
      <c r="AD2" s="60"/>
      <c r="AE2" s="60"/>
      <c r="AF2" s="343"/>
      <c r="AG2" s="81" t="s">
        <v>232</v>
      </c>
      <c r="AH2" s="81"/>
      <c r="AI2" s="65"/>
      <c r="AJ2" s="65"/>
      <c r="AK2" s="65"/>
      <c r="AL2" s="523">
        <f>P2</f>
        <v>107.6</v>
      </c>
      <c r="AM2" s="58" t="s">
        <v>231</v>
      </c>
      <c r="AN2" s="65" t="s">
        <v>252</v>
      </c>
      <c r="AO2" s="65"/>
      <c r="AP2" s="81" t="str">
        <f>T2</f>
        <v>EN PN160</v>
      </c>
      <c r="AQ2" s="64"/>
    </row>
    <row r="3" spans="1:43" ht="13.15" customHeight="1" x14ac:dyDescent="0.2">
      <c r="A3" s="63"/>
      <c r="B3" s="61"/>
      <c r="C3" s="62"/>
      <c r="D3" s="61"/>
      <c r="E3" s="60"/>
      <c r="F3" s="60"/>
      <c r="G3" s="60"/>
      <c r="H3" s="60"/>
      <c r="I3" s="60"/>
      <c r="J3" s="59"/>
      <c r="K3" s="100" t="s">
        <v>233</v>
      </c>
      <c r="L3" s="75"/>
      <c r="M3" s="101"/>
      <c r="N3" s="65"/>
      <c r="O3" s="65"/>
      <c r="P3" s="529">
        <v>325</v>
      </c>
      <c r="Q3" s="58" t="s">
        <v>223</v>
      </c>
      <c r="R3" s="76" t="s">
        <v>229</v>
      </c>
      <c r="S3" s="77"/>
      <c r="T3" s="81" t="s">
        <v>227</v>
      </c>
      <c r="U3" s="57"/>
      <c r="V3" s="51"/>
      <c r="W3" s="80"/>
      <c r="X3" s="61"/>
      <c r="Y3" s="62"/>
      <c r="Z3" s="61"/>
      <c r="AA3" s="60"/>
      <c r="AB3" s="60"/>
      <c r="AC3" s="60"/>
      <c r="AD3" s="60"/>
      <c r="AE3" s="60"/>
      <c r="AF3" s="343"/>
      <c r="AG3" s="81" t="s">
        <v>233</v>
      </c>
      <c r="AH3" s="101"/>
      <c r="AI3" s="65"/>
      <c r="AJ3" s="65"/>
      <c r="AK3" s="65"/>
      <c r="AL3" s="523">
        <f>P3</f>
        <v>325</v>
      </c>
      <c r="AM3" s="58" t="s">
        <v>223</v>
      </c>
      <c r="AN3" s="76" t="s">
        <v>229</v>
      </c>
      <c r="AO3" s="77"/>
      <c r="AP3" s="81" t="str">
        <f>T3</f>
        <v>seamless</v>
      </c>
      <c r="AQ3" s="57"/>
    </row>
    <row r="4" spans="1:43" ht="13.15" customHeight="1" thickBot="1" x14ac:dyDescent="0.25">
      <c r="A4" s="56"/>
      <c r="B4" s="55"/>
      <c r="C4" s="55"/>
      <c r="D4" s="54"/>
      <c r="E4" s="53"/>
      <c r="F4" s="53"/>
      <c r="G4" s="53"/>
      <c r="H4" s="14"/>
      <c r="I4" s="14"/>
      <c r="J4" s="52"/>
      <c r="K4" s="60" t="s">
        <v>226</v>
      </c>
      <c r="L4" s="81"/>
      <c r="M4" s="102"/>
      <c r="N4" s="60"/>
      <c r="O4" s="60"/>
      <c r="P4" s="524">
        <v>238</v>
      </c>
      <c r="Q4" s="58" t="s">
        <v>235</v>
      </c>
      <c r="R4" s="82" t="s">
        <v>234</v>
      </c>
      <c r="S4" s="83"/>
      <c r="T4" s="113" t="s">
        <v>469</v>
      </c>
      <c r="U4" s="79"/>
      <c r="V4" s="119"/>
      <c r="W4" s="166"/>
      <c r="X4" s="55"/>
      <c r="Y4" s="55"/>
      <c r="Z4" s="54"/>
      <c r="AA4" s="53"/>
      <c r="AB4" s="53"/>
      <c r="AC4" s="53"/>
      <c r="AD4" s="14"/>
      <c r="AE4" s="14"/>
      <c r="AF4" s="344"/>
      <c r="AG4" s="60" t="s">
        <v>226</v>
      </c>
      <c r="AH4" s="102"/>
      <c r="AI4" s="60"/>
      <c r="AJ4" s="60"/>
      <c r="AK4" s="336"/>
      <c r="AL4" s="525">
        <f>P4</f>
        <v>238</v>
      </c>
      <c r="AM4" s="58" t="s">
        <v>235</v>
      </c>
      <c r="AN4" s="82" t="s">
        <v>234</v>
      </c>
      <c r="AO4" s="83"/>
      <c r="AP4" s="113" t="str">
        <f>T4</f>
        <v>ECJB</v>
      </c>
      <c r="AQ4" s="79"/>
    </row>
    <row r="5" spans="1:43" ht="13.15" customHeight="1" x14ac:dyDescent="0.2">
      <c r="A5" s="51" t="s">
        <v>225</v>
      </c>
      <c r="B5" s="80"/>
      <c r="C5" s="50" t="s">
        <v>224</v>
      </c>
      <c r="D5" s="49" t="s">
        <v>223</v>
      </c>
      <c r="E5" s="48"/>
      <c r="F5" s="47" t="s">
        <v>303</v>
      </c>
      <c r="G5" s="47">
        <v>100</v>
      </c>
      <c r="H5" s="47">
        <v>150</v>
      </c>
      <c r="I5" s="47">
        <v>200</v>
      </c>
      <c r="J5" s="47">
        <v>250</v>
      </c>
      <c r="K5" s="47">
        <v>300</v>
      </c>
      <c r="L5" s="197">
        <v>325</v>
      </c>
      <c r="M5" s="195">
        <v>350</v>
      </c>
      <c r="N5" s="205">
        <v>400</v>
      </c>
      <c r="O5" s="176"/>
      <c r="P5" s="177"/>
      <c r="Q5" s="104"/>
      <c r="R5" s="104"/>
      <c r="S5" s="107"/>
      <c r="T5" s="107"/>
      <c r="U5" s="105"/>
      <c r="V5" s="51" t="s">
        <v>225</v>
      </c>
      <c r="W5" s="80"/>
      <c r="X5" s="80"/>
      <c r="Y5" s="50" t="s">
        <v>224</v>
      </c>
      <c r="Z5" s="49" t="s">
        <v>223</v>
      </c>
      <c r="AA5" s="48"/>
      <c r="AB5" s="47" t="s">
        <v>303</v>
      </c>
      <c r="AC5" s="47">
        <v>100</v>
      </c>
      <c r="AD5" s="47">
        <v>150</v>
      </c>
      <c r="AE5" s="47">
        <v>200</v>
      </c>
      <c r="AF5" s="47">
        <v>250</v>
      </c>
      <c r="AG5" s="47">
        <v>300</v>
      </c>
      <c r="AH5" s="197">
        <v>325</v>
      </c>
      <c r="AI5" s="195">
        <v>350</v>
      </c>
      <c r="AJ5" s="205">
        <v>400</v>
      </c>
      <c r="AK5" s="176"/>
      <c r="AL5" s="177"/>
      <c r="AM5" s="104"/>
      <c r="AN5" s="104"/>
      <c r="AO5" s="107"/>
      <c r="AP5" s="107"/>
      <c r="AQ5" s="105"/>
    </row>
    <row r="6" spans="1:43" ht="20.25" customHeight="1" x14ac:dyDescent="0.2">
      <c r="A6" s="51"/>
      <c r="B6" s="80"/>
      <c r="C6" s="185" t="s">
        <v>285</v>
      </c>
      <c r="D6" s="186" t="s">
        <v>235</v>
      </c>
      <c r="E6" s="187" t="s">
        <v>502</v>
      </c>
      <c r="F6" s="218">
        <v>160</v>
      </c>
      <c r="G6" s="382" t="s">
        <v>596</v>
      </c>
      <c r="H6" s="387" t="s">
        <v>597</v>
      </c>
      <c r="I6" s="387" t="s">
        <v>598</v>
      </c>
      <c r="J6" s="394" t="s">
        <v>599</v>
      </c>
      <c r="K6" s="387" t="s">
        <v>560</v>
      </c>
      <c r="L6" s="397" t="s">
        <v>623</v>
      </c>
      <c r="M6" s="395" t="s">
        <v>600</v>
      </c>
      <c r="N6" s="396" t="s">
        <v>601</v>
      </c>
      <c r="O6" s="686" t="s">
        <v>594</v>
      </c>
      <c r="P6" s="687"/>
      <c r="Q6" s="189"/>
      <c r="R6" s="189"/>
      <c r="S6" s="190"/>
      <c r="T6" s="190"/>
      <c r="U6" s="191"/>
      <c r="V6" s="21"/>
      <c r="X6" s="80"/>
      <c r="Y6" s="185" t="s">
        <v>285</v>
      </c>
      <c r="Z6" s="186" t="s">
        <v>235</v>
      </c>
      <c r="AA6" s="187" t="s">
        <v>502</v>
      </c>
      <c r="AB6" s="218">
        <v>160</v>
      </c>
      <c r="AC6" s="382" t="s">
        <v>596</v>
      </c>
      <c r="AD6" s="387" t="s">
        <v>597</v>
      </c>
      <c r="AE6" s="387" t="s">
        <v>598</v>
      </c>
      <c r="AF6" s="394" t="s">
        <v>599</v>
      </c>
      <c r="AG6" s="387" t="s">
        <v>560</v>
      </c>
      <c r="AH6" s="397" t="s">
        <v>623</v>
      </c>
      <c r="AI6" s="395" t="s">
        <v>600</v>
      </c>
      <c r="AJ6" s="396" t="s">
        <v>601</v>
      </c>
      <c r="AK6" s="686" t="s">
        <v>594</v>
      </c>
      <c r="AL6" s="687"/>
      <c r="AM6" s="189"/>
      <c r="AN6" s="189"/>
      <c r="AO6" s="190"/>
      <c r="AP6" s="190"/>
      <c r="AQ6" s="191"/>
    </row>
    <row r="7" spans="1:43" ht="12.75" customHeight="1" thickBot="1" x14ac:dyDescent="0.25">
      <c r="A7" s="46"/>
      <c r="B7" s="120"/>
      <c r="C7" s="671" t="s">
        <v>284</v>
      </c>
      <c r="D7" s="672"/>
      <c r="E7" s="45"/>
      <c r="F7" s="212"/>
      <c r="G7" s="213"/>
      <c r="H7" s="213"/>
      <c r="I7" s="214"/>
      <c r="J7" s="836" t="s">
        <v>286</v>
      </c>
      <c r="K7" s="674"/>
      <c r="L7" s="837"/>
      <c r="M7" s="256" t="s">
        <v>287</v>
      </c>
      <c r="N7" s="143"/>
      <c r="O7" s="201"/>
      <c r="P7" s="201"/>
      <c r="Q7" s="201"/>
      <c r="R7" s="201"/>
      <c r="S7" s="202"/>
      <c r="T7" s="202"/>
      <c r="U7" s="106"/>
      <c r="V7" s="121"/>
      <c r="W7" s="143"/>
      <c r="X7" s="120"/>
      <c r="Y7" s="671" t="s">
        <v>284</v>
      </c>
      <c r="Z7" s="672"/>
      <c r="AA7" s="45"/>
      <c r="AB7" s="212"/>
      <c r="AC7" s="213"/>
      <c r="AD7" s="213"/>
      <c r="AE7" s="214"/>
      <c r="AF7" s="836" t="s">
        <v>286</v>
      </c>
      <c r="AG7" s="674"/>
      <c r="AH7" s="837"/>
      <c r="AI7" s="256" t="s">
        <v>287</v>
      </c>
      <c r="AJ7" s="143"/>
      <c r="AK7" s="201"/>
      <c r="AL7" s="201"/>
      <c r="AM7" s="201"/>
      <c r="AN7" s="201"/>
      <c r="AO7" s="202"/>
      <c r="AP7" s="202"/>
      <c r="AQ7" s="106"/>
    </row>
    <row r="8" spans="1:43" ht="13.15" customHeight="1" x14ac:dyDescent="0.2">
      <c r="A8" s="413" t="s">
        <v>633</v>
      </c>
      <c r="B8" s="158" t="s">
        <v>220</v>
      </c>
      <c r="C8" s="200">
        <v>15</v>
      </c>
      <c r="D8" s="38" t="s">
        <v>648</v>
      </c>
      <c r="E8" s="38">
        <v>25</v>
      </c>
      <c r="F8" s="38" t="s">
        <v>649</v>
      </c>
      <c r="G8" s="38">
        <v>40</v>
      </c>
      <c r="H8" s="38">
        <v>50</v>
      </c>
      <c r="I8" s="38" t="s">
        <v>299</v>
      </c>
      <c r="J8" s="38">
        <v>80</v>
      </c>
      <c r="K8" s="38">
        <v>100</v>
      </c>
      <c r="L8" s="38" t="s">
        <v>300</v>
      </c>
      <c r="M8" s="38">
        <v>150</v>
      </c>
      <c r="N8" s="38">
        <v>200</v>
      </c>
      <c r="O8" s="38">
        <v>250</v>
      </c>
      <c r="P8" s="38">
        <v>300</v>
      </c>
      <c r="Q8" s="38">
        <v>350</v>
      </c>
      <c r="R8" s="78">
        <v>400</v>
      </c>
      <c r="S8" s="38">
        <v>450</v>
      </c>
      <c r="T8" s="38">
        <v>500</v>
      </c>
      <c r="U8" s="37">
        <v>600</v>
      </c>
      <c r="V8" s="149"/>
      <c r="W8" s="167"/>
      <c r="X8" s="103"/>
      <c r="Y8" s="103"/>
      <c r="Z8" s="103"/>
      <c r="AA8" s="103"/>
      <c r="AB8" s="103"/>
      <c r="AC8" s="103"/>
      <c r="AD8" s="103"/>
      <c r="AE8" s="103"/>
      <c r="AF8" s="103"/>
      <c r="AG8" s="103"/>
      <c r="AH8" s="103"/>
      <c r="AI8" s="103"/>
      <c r="AJ8" s="103"/>
      <c r="AK8" s="103"/>
      <c r="AL8" s="103"/>
      <c r="AM8" s="103"/>
      <c r="AN8" s="103"/>
      <c r="AO8" s="103"/>
      <c r="AP8" s="103"/>
      <c r="AQ8" s="145"/>
    </row>
    <row r="9" spans="1:43" ht="13.15" customHeight="1" x14ac:dyDescent="0.2">
      <c r="A9" s="416" t="s">
        <v>634</v>
      </c>
      <c r="B9" s="293" t="s">
        <v>222</v>
      </c>
      <c r="C9" s="35">
        <v>21.3</v>
      </c>
      <c r="D9" s="42">
        <v>26.9</v>
      </c>
      <c r="E9" s="34">
        <v>33.700000000000003</v>
      </c>
      <c r="F9" s="34">
        <v>42.4</v>
      </c>
      <c r="G9" s="34">
        <v>48.3</v>
      </c>
      <c r="H9" s="34">
        <v>60.3</v>
      </c>
      <c r="I9" s="34">
        <v>76.099999999999994</v>
      </c>
      <c r="J9" s="34">
        <v>88.9</v>
      </c>
      <c r="K9" s="34">
        <v>114.3</v>
      </c>
      <c r="L9" s="34">
        <v>139.69999999999999</v>
      </c>
      <c r="M9" s="34">
        <v>168.3</v>
      </c>
      <c r="N9" s="34">
        <v>219.1</v>
      </c>
      <c r="O9" s="34">
        <v>273</v>
      </c>
      <c r="P9" s="34">
        <v>323.89999999999998</v>
      </c>
      <c r="Q9" s="34">
        <v>355.6</v>
      </c>
      <c r="R9" s="34">
        <v>406.4</v>
      </c>
      <c r="S9" s="34">
        <v>457</v>
      </c>
      <c r="T9" s="34">
        <v>508</v>
      </c>
      <c r="U9" s="41">
        <v>610</v>
      </c>
      <c r="V9" s="152"/>
      <c r="W9" s="168"/>
      <c r="AQ9" s="89"/>
    </row>
    <row r="10" spans="1:43" ht="13.15" customHeight="1" x14ac:dyDescent="0.2">
      <c r="A10" s="417" t="s">
        <v>635</v>
      </c>
      <c r="B10" s="294" t="s">
        <v>222</v>
      </c>
      <c r="C10" s="238">
        <v>2.6</v>
      </c>
      <c r="D10" s="239"/>
      <c r="E10" s="239">
        <v>3.2</v>
      </c>
      <c r="F10" s="239">
        <v>3.6</v>
      </c>
      <c r="G10" s="239">
        <v>5</v>
      </c>
      <c r="H10" s="239">
        <v>5.6</v>
      </c>
      <c r="I10" s="239">
        <v>7.1</v>
      </c>
      <c r="J10" s="239">
        <v>8</v>
      </c>
      <c r="K10" s="239">
        <v>10</v>
      </c>
      <c r="L10" s="839" t="s">
        <v>268</v>
      </c>
      <c r="M10" s="840"/>
      <c r="N10" s="840"/>
      <c r="O10" s="840"/>
      <c r="P10" s="840"/>
      <c r="Q10" s="840"/>
      <c r="R10" s="840"/>
      <c r="S10" s="840"/>
      <c r="T10" s="840"/>
      <c r="U10" s="841"/>
      <c r="V10" s="152"/>
      <c r="W10" s="169"/>
      <c r="AQ10" s="89"/>
    </row>
    <row r="11" spans="1:43" ht="13.15" customHeight="1" x14ac:dyDescent="0.2">
      <c r="A11" s="84" t="s">
        <v>636</v>
      </c>
      <c r="B11" s="295" t="s">
        <v>236</v>
      </c>
      <c r="C11" s="736" t="s">
        <v>302</v>
      </c>
      <c r="D11" s="850"/>
      <c r="E11" s="850"/>
      <c r="F11" s="850"/>
      <c r="G11" s="850"/>
      <c r="H11" s="850"/>
      <c r="I11" s="850"/>
      <c r="J11" s="850"/>
      <c r="K11" s="851"/>
      <c r="L11" s="628"/>
      <c r="M11" s="586"/>
      <c r="N11" s="586"/>
      <c r="O11" s="586"/>
      <c r="P11" s="586"/>
      <c r="Q11" s="586"/>
      <c r="R11" s="586"/>
      <c r="S11" s="586"/>
      <c r="T11" s="586"/>
      <c r="U11" s="842"/>
      <c r="V11" s="152"/>
      <c r="W11" s="161"/>
      <c r="AQ11" s="89"/>
    </row>
    <row r="12" spans="1:43" ht="13.15" customHeight="1" thickBot="1" x14ac:dyDescent="0.25">
      <c r="A12" s="419" t="s">
        <v>637</v>
      </c>
      <c r="B12" s="296" t="s">
        <v>222</v>
      </c>
      <c r="C12" s="40">
        <f>C9-2*C10</f>
        <v>16.100000000000001</v>
      </c>
      <c r="D12" s="32"/>
      <c r="E12" s="39">
        <f>E9-2*E10</f>
        <v>27.300000000000004</v>
      </c>
      <c r="F12" s="39"/>
      <c r="G12" s="39">
        <f t="shared" ref="G12:K12" si="0">G9-2*G10</f>
        <v>38.299999999999997</v>
      </c>
      <c r="H12" s="39">
        <f t="shared" si="0"/>
        <v>49.099999999999994</v>
      </c>
      <c r="I12" s="39" t="s">
        <v>236</v>
      </c>
      <c r="J12" s="39">
        <f t="shared" si="0"/>
        <v>72.900000000000006</v>
      </c>
      <c r="K12" s="39">
        <f t="shared" si="0"/>
        <v>94.3</v>
      </c>
      <c r="L12" s="843"/>
      <c r="M12" s="844"/>
      <c r="N12" s="844"/>
      <c r="O12" s="844"/>
      <c r="P12" s="844"/>
      <c r="Q12" s="844"/>
      <c r="R12" s="844"/>
      <c r="S12" s="844"/>
      <c r="T12" s="844"/>
      <c r="U12" s="845"/>
      <c r="V12" s="152"/>
      <c r="W12" s="170"/>
      <c r="AQ12" s="89"/>
    </row>
    <row r="13" spans="1:43" ht="13.15" customHeight="1" x14ac:dyDescent="0.2">
      <c r="A13" s="413" t="s">
        <v>638</v>
      </c>
      <c r="B13" s="158" t="s">
        <v>220</v>
      </c>
      <c r="C13" s="200">
        <v>15</v>
      </c>
      <c r="D13" s="38" t="s">
        <v>648</v>
      </c>
      <c r="E13" s="38">
        <v>25</v>
      </c>
      <c r="F13" s="38" t="s">
        <v>649</v>
      </c>
      <c r="G13" s="38">
        <v>40</v>
      </c>
      <c r="H13" s="38">
        <v>50</v>
      </c>
      <c r="I13" s="38" t="s">
        <v>299</v>
      </c>
      <c r="J13" s="38">
        <v>80</v>
      </c>
      <c r="K13" s="38">
        <v>100</v>
      </c>
      <c r="L13" s="38" t="s">
        <v>300</v>
      </c>
      <c r="M13" s="38">
        <v>150</v>
      </c>
      <c r="N13" s="38">
        <v>200</v>
      </c>
      <c r="O13" s="38">
        <v>250</v>
      </c>
      <c r="P13" s="38">
        <v>300</v>
      </c>
      <c r="Q13" s="38">
        <v>350</v>
      </c>
      <c r="R13" s="78">
        <v>400</v>
      </c>
      <c r="S13" s="38">
        <v>450</v>
      </c>
      <c r="T13" s="38">
        <v>500</v>
      </c>
      <c r="U13" s="37">
        <v>600</v>
      </c>
      <c r="V13" s="154"/>
      <c r="W13" s="171"/>
      <c r="AQ13" s="89"/>
    </row>
    <row r="14" spans="1:43" ht="13.15" customHeight="1" x14ac:dyDescent="0.2">
      <c r="A14" s="416" t="s">
        <v>639</v>
      </c>
      <c r="B14" s="297" t="s">
        <v>222</v>
      </c>
      <c r="C14" s="35">
        <v>21.3</v>
      </c>
      <c r="D14" s="34">
        <v>26.9</v>
      </c>
      <c r="E14" s="34">
        <v>33.700000000000003</v>
      </c>
      <c r="F14" s="34">
        <v>42.4</v>
      </c>
      <c r="G14" s="34">
        <v>48.3</v>
      </c>
      <c r="H14" s="34">
        <v>60.3</v>
      </c>
      <c r="I14" s="34">
        <v>76.099999999999994</v>
      </c>
      <c r="J14" s="34">
        <v>88.9</v>
      </c>
      <c r="K14" s="34">
        <v>114.3</v>
      </c>
      <c r="L14" s="34">
        <v>139.69999999999999</v>
      </c>
      <c r="M14" s="34">
        <v>168.3</v>
      </c>
      <c r="N14" s="34">
        <v>219.1</v>
      </c>
      <c r="O14" s="34">
        <v>273</v>
      </c>
      <c r="P14" s="34">
        <v>323.89999999999998</v>
      </c>
      <c r="Q14" s="34">
        <v>355.6</v>
      </c>
      <c r="R14" s="34">
        <v>406.4</v>
      </c>
      <c r="S14" s="34">
        <v>457</v>
      </c>
      <c r="T14" s="34">
        <v>508</v>
      </c>
      <c r="U14" s="41">
        <v>610</v>
      </c>
      <c r="V14" s="152"/>
      <c r="W14" s="168"/>
      <c r="AQ14" s="89"/>
    </row>
    <row r="15" spans="1:43" ht="13.15" customHeight="1" x14ac:dyDescent="0.2">
      <c r="A15" s="417" t="s">
        <v>640</v>
      </c>
      <c r="B15" s="294" t="s">
        <v>222</v>
      </c>
      <c r="C15" s="238">
        <v>2.6</v>
      </c>
      <c r="D15" s="239">
        <v>2.6</v>
      </c>
      <c r="E15" s="239">
        <v>3.2</v>
      </c>
      <c r="F15" s="239">
        <v>3.6</v>
      </c>
      <c r="G15" s="239">
        <v>5</v>
      </c>
      <c r="H15" s="239">
        <v>5.6</v>
      </c>
      <c r="I15" s="239">
        <v>7.1</v>
      </c>
      <c r="J15" s="239">
        <v>8</v>
      </c>
      <c r="K15" s="239">
        <v>11</v>
      </c>
      <c r="L15" s="846" t="s">
        <v>268</v>
      </c>
      <c r="M15" s="547"/>
      <c r="N15" s="547"/>
      <c r="O15" s="547"/>
      <c r="P15" s="547"/>
      <c r="Q15" s="547"/>
      <c r="R15" s="547"/>
      <c r="S15" s="547"/>
      <c r="T15" s="547"/>
      <c r="U15" s="823"/>
      <c r="V15" s="152"/>
      <c r="W15" s="169"/>
      <c r="AQ15" s="89"/>
    </row>
    <row r="16" spans="1:43" ht="13.15" customHeight="1" thickBot="1" x14ac:dyDescent="0.25">
      <c r="A16" s="419" t="s">
        <v>641</v>
      </c>
      <c r="B16" s="296" t="s">
        <v>222</v>
      </c>
      <c r="C16" s="316">
        <v>3</v>
      </c>
      <c r="D16" s="469">
        <v>3</v>
      </c>
      <c r="E16" s="317">
        <v>3</v>
      </c>
      <c r="F16" s="317" t="s">
        <v>462</v>
      </c>
      <c r="G16" s="317">
        <v>5</v>
      </c>
      <c r="H16" s="317">
        <v>5</v>
      </c>
      <c r="I16" s="317">
        <v>5</v>
      </c>
      <c r="J16" s="317">
        <v>5</v>
      </c>
      <c r="K16" s="317">
        <v>6</v>
      </c>
      <c r="L16" s="847"/>
      <c r="M16" s="848"/>
      <c r="N16" s="848"/>
      <c r="O16" s="848"/>
      <c r="P16" s="848"/>
      <c r="Q16" s="848"/>
      <c r="R16" s="848"/>
      <c r="S16" s="848"/>
      <c r="T16" s="848"/>
      <c r="U16" s="849"/>
      <c r="V16" s="21"/>
      <c r="AO16"/>
      <c r="AQ16" s="89"/>
    </row>
    <row r="17" spans="1:43" ht="13.15" customHeight="1" x14ac:dyDescent="0.2">
      <c r="A17" s="31" t="s">
        <v>221</v>
      </c>
      <c r="B17" s="422"/>
      <c r="C17" s="631" t="s">
        <v>220</v>
      </c>
      <c r="D17" s="632"/>
      <c r="E17" s="633" t="s">
        <v>197</v>
      </c>
      <c r="F17" s="634"/>
      <c r="G17" s="634"/>
      <c r="H17" s="634"/>
      <c r="I17" s="634"/>
      <c r="J17" s="634"/>
      <c r="K17" s="635" t="s">
        <v>241</v>
      </c>
      <c r="L17" s="634"/>
      <c r="M17" s="634"/>
      <c r="N17" s="636"/>
      <c r="O17" s="656" t="s">
        <v>243</v>
      </c>
      <c r="P17" s="656" t="s">
        <v>242</v>
      </c>
      <c r="Q17" s="637" t="s">
        <v>244</v>
      </c>
      <c r="R17" s="638"/>
      <c r="S17" s="633" t="s">
        <v>245</v>
      </c>
      <c r="T17" s="639"/>
      <c r="U17" s="640"/>
      <c r="V17" s="21"/>
      <c r="AQ17" s="89"/>
    </row>
    <row r="18" spans="1:43" ht="13.15" customHeight="1" x14ac:dyDescent="0.2">
      <c r="A18" s="20"/>
      <c r="B18" s="424"/>
      <c r="C18" s="30" t="s">
        <v>219</v>
      </c>
      <c r="D18" s="30" t="s">
        <v>218</v>
      </c>
      <c r="E18" s="554"/>
      <c r="F18" s="555"/>
      <c r="G18" s="555"/>
      <c r="H18" s="555"/>
      <c r="I18" s="555"/>
      <c r="J18" s="555"/>
      <c r="K18" s="558"/>
      <c r="L18" s="555"/>
      <c r="M18" s="555"/>
      <c r="N18" s="556"/>
      <c r="O18" s="555"/>
      <c r="P18" s="555"/>
      <c r="Q18" s="555"/>
      <c r="R18" s="555"/>
      <c r="S18" s="641"/>
      <c r="T18" s="642"/>
      <c r="U18" s="643"/>
      <c r="V18" s="172"/>
      <c r="W18" s="168"/>
      <c r="X18" s="659" t="s">
        <v>288</v>
      </c>
      <c r="Y18" s="670"/>
      <c r="Z18" s="670"/>
      <c r="AA18" s="670"/>
      <c r="AB18" s="670"/>
      <c r="AC18" s="670"/>
      <c r="AD18" s="670"/>
      <c r="AE18" s="670"/>
      <c r="AF18" s="670"/>
      <c r="AG18" s="670"/>
      <c r="AH18" s="670"/>
      <c r="AI18" s="670"/>
      <c r="AJ18" s="670"/>
      <c r="AK18" s="670"/>
      <c r="AL18" s="670"/>
      <c r="AM18" s="670"/>
      <c r="AN18" s="670"/>
      <c r="AO18" s="660"/>
      <c r="AP18" s="660"/>
      <c r="AQ18" s="89"/>
    </row>
    <row r="19" spans="1:43" ht="13.15" customHeight="1" x14ac:dyDescent="0.2">
      <c r="A19" s="19" t="s">
        <v>217</v>
      </c>
      <c r="B19" s="60"/>
      <c r="C19" s="24">
        <v>15</v>
      </c>
      <c r="D19" s="24">
        <v>50</v>
      </c>
      <c r="E19" s="561" t="s">
        <v>497</v>
      </c>
      <c r="F19" s="562"/>
      <c r="G19" s="562"/>
      <c r="H19" s="562"/>
      <c r="I19" s="562"/>
      <c r="J19" s="563"/>
      <c r="K19" s="564" t="s">
        <v>322</v>
      </c>
      <c r="L19" s="562"/>
      <c r="M19" s="562"/>
      <c r="N19" s="563"/>
      <c r="O19" s="97" t="s">
        <v>236</v>
      </c>
      <c r="P19" s="97" t="s">
        <v>485</v>
      </c>
      <c r="Q19" s="651" t="s">
        <v>304</v>
      </c>
      <c r="R19" s="626"/>
      <c r="S19" s="88"/>
      <c r="U19" s="89"/>
      <c r="V19" s="657" t="s">
        <v>274</v>
      </c>
      <c r="W19" s="1">
        <v>15</v>
      </c>
      <c r="X19" s="139" t="s">
        <v>396</v>
      </c>
      <c r="Y19" s="137"/>
      <c r="Z19" s="137"/>
      <c r="AA19" s="137"/>
      <c r="AB19" s="137"/>
      <c r="AC19" s="137"/>
      <c r="AD19" s="137"/>
      <c r="AE19" s="137"/>
      <c r="AF19" s="137"/>
      <c r="AG19" s="137"/>
      <c r="AH19" s="137"/>
      <c r="AI19" s="137"/>
      <c r="AJ19" s="137"/>
      <c r="AK19" s="137"/>
      <c r="AL19" s="138"/>
      <c r="AM19" s="138"/>
      <c r="AN19"/>
      <c r="AQ19" s="89"/>
    </row>
    <row r="20" spans="1:43" ht="13.15" customHeight="1" x14ac:dyDescent="0.2">
      <c r="A20" s="19"/>
      <c r="B20" s="60"/>
      <c r="C20" s="24">
        <v>65</v>
      </c>
      <c r="D20" s="24">
        <v>100</v>
      </c>
      <c r="E20" s="583" t="s">
        <v>496</v>
      </c>
      <c r="F20" s="549"/>
      <c r="G20" s="549"/>
      <c r="H20" s="549"/>
      <c r="I20" s="549"/>
      <c r="J20" s="550"/>
      <c r="K20" s="584" t="s">
        <v>322</v>
      </c>
      <c r="L20" s="549"/>
      <c r="M20" s="549"/>
      <c r="N20" s="550"/>
      <c r="O20" s="98" t="s">
        <v>236</v>
      </c>
      <c r="P20" s="98" t="s">
        <v>484</v>
      </c>
      <c r="Q20" s="652" t="s">
        <v>304</v>
      </c>
      <c r="R20" s="586"/>
      <c r="S20" s="88"/>
      <c r="U20" s="89"/>
      <c r="V20" s="824"/>
      <c r="W20" s="430" t="s">
        <v>642</v>
      </c>
      <c r="X20" s="139"/>
      <c r="Y20" s="139"/>
      <c r="Z20" s="501"/>
      <c r="AA20" s="137"/>
      <c r="AB20" s="137"/>
      <c r="AC20" s="137"/>
      <c r="AD20" s="137"/>
      <c r="AE20" s="137"/>
      <c r="AF20" s="137"/>
      <c r="AG20" s="137"/>
      <c r="AH20" s="137"/>
      <c r="AI20" s="137"/>
      <c r="AJ20" s="137"/>
      <c r="AK20" s="137"/>
      <c r="AL20" s="137"/>
      <c r="AM20" s="138"/>
      <c r="AN20" s="138"/>
      <c r="AQ20" s="89"/>
    </row>
    <row r="21" spans="1:43" ht="13.15" customHeight="1" x14ac:dyDescent="0.2">
      <c r="A21" s="19"/>
      <c r="B21" s="60"/>
      <c r="C21" s="24"/>
      <c r="D21" s="24"/>
      <c r="E21" s="583"/>
      <c r="F21" s="549"/>
      <c r="G21" s="549"/>
      <c r="H21" s="549"/>
      <c r="I21" s="549"/>
      <c r="J21" s="550"/>
      <c r="K21" s="584"/>
      <c r="L21" s="549"/>
      <c r="M21" s="549"/>
      <c r="N21" s="550"/>
      <c r="O21" s="98"/>
      <c r="P21" s="98"/>
      <c r="Q21" s="652"/>
      <c r="R21" s="586"/>
      <c r="S21" s="88"/>
      <c r="U21" s="89"/>
      <c r="V21" s="824"/>
      <c r="W21" s="118">
        <v>25</v>
      </c>
      <c r="X21" s="139" t="s">
        <v>396</v>
      </c>
      <c r="Y21" s="139"/>
      <c r="Z21" s="139" t="s">
        <v>396</v>
      </c>
      <c r="AA21" s="137"/>
      <c r="AB21" s="137"/>
      <c r="AC21" s="137"/>
      <c r="AD21" s="137"/>
      <c r="AE21" s="137"/>
      <c r="AF21" s="137"/>
      <c r="AG21" s="137"/>
      <c r="AH21" s="137"/>
      <c r="AI21" s="137"/>
      <c r="AJ21" s="137"/>
      <c r="AK21" s="137"/>
      <c r="AL21" s="137"/>
      <c r="AM21" s="138"/>
      <c r="AN21" s="138"/>
      <c r="AQ21" s="89"/>
    </row>
    <row r="22" spans="1:43" ht="13.15" customHeight="1" x14ac:dyDescent="0.2">
      <c r="A22" s="19"/>
      <c r="B22" s="60"/>
      <c r="C22" s="24"/>
      <c r="D22" s="24"/>
      <c r="E22" s="583"/>
      <c r="F22" s="549"/>
      <c r="G22" s="549"/>
      <c r="H22" s="549"/>
      <c r="I22" s="549"/>
      <c r="J22" s="550"/>
      <c r="K22" s="584"/>
      <c r="L22" s="549"/>
      <c r="M22" s="549"/>
      <c r="N22" s="550"/>
      <c r="O22" s="98"/>
      <c r="P22" s="98"/>
      <c r="Q22" s="652"/>
      <c r="R22" s="586"/>
      <c r="S22" s="88"/>
      <c r="U22" s="89"/>
      <c r="V22" s="824"/>
      <c r="W22" s="430" t="s">
        <v>643</v>
      </c>
      <c r="X22" s="139"/>
      <c r="Y22" s="139"/>
      <c r="Z22" s="139"/>
      <c r="AA22" s="139"/>
      <c r="AB22" s="501"/>
      <c r="AC22" s="137"/>
      <c r="AD22" s="137"/>
      <c r="AE22" s="137"/>
      <c r="AF22" s="137"/>
      <c r="AG22" s="137"/>
      <c r="AH22" s="137"/>
      <c r="AI22" s="137"/>
      <c r="AJ22" s="137"/>
      <c r="AK22" s="137"/>
      <c r="AL22" s="137"/>
      <c r="AM22" s="137"/>
      <c r="AN22" s="138"/>
      <c r="AO22" s="138"/>
      <c r="AQ22" s="89"/>
    </row>
    <row r="23" spans="1:43" ht="13.15" customHeight="1" x14ac:dyDescent="0.2">
      <c r="A23" s="19"/>
      <c r="B23" s="60"/>
      <c r="C23" s="24"/>
      <c r="D23" s="24"/>
      <c r="E23" s="155"/>
      <c r="F23" s="160"/>
      <c r="G23" s="160"/>
      <c r="H23" s="160"/>
      <c r="I23" s="160"/>
      <c r="J23" s="181"/>
      <c r="K23" s="182"/>
      <c r="L23" s="160"/>
      <c r="M23" s="160"/>
      <c r="N23" s="181"/>
      <c r="O23" s="98"/>
      <c r="P23" s="98"/>
      <c r="Q23" s="183"/>
      <c r="R23" s="161"/>
      <c r="S23" s="88"/>
      <c r="U23" s="89"/>
      <c r="V23" s="824"/>
      <c r="W23" s="118">
        <v>40</v>
      </c>
      <c r="X23" s="139" t="s">
        <v>398</v>
      </c>
      <c r="Y23" s="139"/>
      <c r="Z23" s="139" t="s">
        <v>398</v>
      </c>
      <c r="AA23" s="139"/>
      <c r="AB23" s="139" t="s">
        <v>398</v>
      </c>
      <c r="AC23" s="137"/>
      <c r="AD23" s="137"/>
      <c r="AE23" s="137"/>
      <c r="AF23" s="137"/>
      <c r="AG23" s="137"/>
      <c r="AH23" s="137"/>
      <c r="AI23" s="137"/>
      <c r="AJ23" s="137"/>
      <c r="AK23" s="137"/>
      <c r="AL23" s="137"/>
      <c r="AM23" s="137"/>
      <c r="AN23" s="138"/>
      <c r="AO23" s="138"/>
      <c r="AQ23" s="89"/>
    </row>
    <row r="24" spans="1:43" ht="13.15" customHeight="1" x14ac:dyDescent="0.2">
      <c r="A24" s="26" t="s">
        <v>298</v>
      </c>
      <c r="B24" s="435"/>
      <c r="C24" s="29">
        <v>15</v>
      </c>
      <c r="D24" s="25">
        <v>50</v>
      </c>
      <c r="E24" s="653" t="s">
        <v>495</v>
      </c>
      <c r="F24" s="654"/>
      <c r="G24" s="654"/>
      <c r="H24" s="654"/>
      <c r="I24" s="654"/>
      <c r="J24" s="655"/>
      <c r="K24" s="699" t="s">
        <v>322</v>
      </c>
      <c r="L24" s="654"/>
      <c r="M24" s="654"/>
      <c r="N24" s="655"/>
      <c r="O24" s="148" t="s">
        <v>236</v>
      </c>
      <c r="P24" s="97" t="s">
        <v>485</v>
      </c>
      <c r="Q24" s="697" t="s">
        <v>304</v>
      </c>
      <c r="R24" s="701"/>
      <c r="S24" s="90"/>
      <c r="T24" s="91"/>
      <c r="U24" s="92"/>
      <c r="V24" s="824"/>
      <c r="W24" s="1">
        <v>50</v>
      </c>
      <c r="X24" s="139" t="s">
        <v>389</v>
      </c>
      <c r="Y24" s="139"/>
      <c r="Z24" s="139" t="s">
        <v>398</v>
      </c>
      <c r="AA24" s="139"/>
      <c r="AB24" s="139" t="s">
        <v>398</v>
      </c>
      <c r="AC24" s="139" t="s">
        <v>398</v>
      </c>
      <c r="AD24" s="137"/>
      <c r="AE24" s="137"/>
      <c r="AF24" s="137"/>
      <c r="AG24" s="137"/>
      <c r="AH24" s="137"/>
      <c r="AI24" s="137"/>
      <c r="AJ24" s="137"/>
      <c r="AK24" s="137"/>
      <c r="AL24" s="137"/>
      <c r="AM24" s="137"/>
      <c r="AN24" s="138"/>
      <c r="AO24" s="138"/>
      <c r="AQ24" s="89"/>
    </row>
    <row r="25" spans="1:43" ht="13.15" customHeight="1" x14ac:dyDescent="0.2">
      <c r="A25" s="19" t="s">
        <v>305</v>
      </c>
      <c r="B25" s="60"/>
      <c r="C25" s="235">
        <v>15</v>
      </c>
      <c r="D25" s="242">
        <v>15</v>
      </c>
      <c r="E25" s="644" t="s">
        <v>503</v>
      </c>
      <c r="F25" s="645"/>
      <c r="G25" s="645"/>
      <c r="H25" s="645"/>
      <c r="I25" s="645"/>
      <c r="J25" s="646"/>
      <c r="K25" s="700" t="s">
        <v>323</v>
      </c>
      <c r="L25" s="645"/>
      <c r="M25" s="645"/>
      <c r="N25" s="646"/>
      <c r="O25" s="188" t="s">
        <v>236</v>
      </c>
      <c r="P25" s="188" t="s">
        <v>246</v>
      </c>
      <c r="Q25" s="647" t="s">
        <v>306</v>
      </c>
      <c r="R25" s="723"/>
      <c r="S25" s="93"/>
      <c r="U25" s="89"/>
      <c r="V25" s="824"/>
      <c r="W25" s="227" t="s">
        <v>295</v>
      </c>
      <c r="X25" s="139" t="s">
        <v>389</v>
      </c>
      <c r="Y25" s="142"/>
      <c r="Z25" s="142" t="s">
        <v>398</v>
      </c>
      <c r="AA25" s="142"/>
      <c r="AB25" s="142" t="s">
        <v>398</v>
      </c>
      <c r="AC25" s="142" t="s">
        <v>398</v>
      </c>
      <c r="AD25" s="142" t="s">
        <v>398</v>
      </c>
      <c r="AE25" s="147"/>
      <c r="AF25" s="137"/>
      <c r="AG25" s="137"/>
      <c r="AH25" s="137"/>
      <c r="AI25" s="137"/>
      <c r="AJ25" s="137"/>
      <c r="AK25" s="137"/>
      <c r="AL25" s="137"/>
      <c r="AM25" s="137"/>
      <c r="AN25" s="137"/>
      <c r="AO25" s="138"/>
      <c r="AP25" s="138"/>
      <c r="AQ25" s="89"/>
    </row>
    <row r="26" spans="1:43" ht="13.15" customHeight="1" x14ac:dyDescent="0.2">
      <c r="A26" s="19"/>
      <c r="B26" s="60"/>
      <c r="C26" s="24">
        <v>25</v>
      </c>
      <c r="D26" s="23">
        <v>100</v>
      </c>
      <c r="E26" s="583" t="s">
        <v>503</v>
      </c>
      <c r="F26" s="549"/>
      <c r="G26" s="549"/>
      <c r="H26" s="549"/>
      <c r="I26" s="549"/>
      <c r="J26" s="550"/>
      <c r="K26" s="584" t="s">
        <v>323</v>
      </c>
      <c r="L26" s="549"/>
      <c r="M26" s="549"/>
      <c r="N26" s="550"/>
      <c r="O26" s="98" t="s">
        <v>236</v>
      </c>
      <c r="P26" s="98" t="s">
        <v>246</v>
      </c>
      <c r="Q26" s="585" t="s">
        <v>307</v>
      </c>
      <c r="R26" s="615"/>
      <c r="S26" s="88"/>
      <c r="U26" s="89"/>
      <c r="V26" s="824"/>
      <c r="W26" s="1">
        <v>80</v>
      </c>
      <c r="X26" s="139" t="s">
        <v>389</v>
      </c>
      <c r="Y26" s="139"/>
      <c r="Z26" s="139" t="s">
        <v>394</v>
      </c>
      <c r="AA26" s="139"/>
      <c r="AB26" s="139" t="s">
        <v>398</v>
      </c>
      <c r="AC26" s="139" t="s">
        <v>398</v>
      </c>
      <c r="AD26" s="139" t="s">
        <v>398</v>
      </c>
      <c r="AE26" s="139" t="s">
        <v>398</v>
      </c>
      <c r="AF26" s="137"/>
      <c r="AG26" s="137"/>
      <c r="AH26" s="137"/>
      <c r="AI26" s="137"/>
      <c r="AJ26" s="137"/>
      <c r="AK26" s="137"/>
      <c r="AL26" s="137"/>
      <c r="AM26" s="137"/>
      <c r="AN26" s="137"/>
      <c r="AO26" s="138"/>
      <c r="AP26" s="138"/>
      <c r="AQ26" s="89"/>
    </row>
    <row r="27" spans="1:43" ht="13.15" customHeight="1" x14ac:dyDescent="0.2">
      <c r="A27" s="19"/>
      <c r="B27" s="60"/>
      <c r="C27" s="24"/>
      <c r="D27" s="23"/>
      <c r="E27" s="155"/>
      <c r="F27" s="160"/>
      <c r="G27" s="160"/>
      <c r="H27" s="160"/>
      <c r="I27" s="160"/>
      <c r="J27" s="181"/>
      <c r="K27" s="182"/>
      <c r="L27" s="160"/>
      <c r="M27" s="160"/>
      <c r="N27" s="181"/>
      <c r="O27" s="98"/>
      <c r="P27" s="98"/>
      <c r="Q27" s="183"/>
      <c r="R27" s="161"/>
      <c r="S27" s="93"/>
      <c r="U27" s="89"/>
      <c r="V27" s="824"/>
      <c r="W27" s="1">
        <v>100</v>
      </c>
      <c r="X27" s="139" t="s">
        <v>691</v>
      </c>
      <c r="Y27" s="142"/>
      <c r="Z27" s="142" t="s">
        <v>394</v>
      </c>
      <c r="AA27" s="139"/>
      <c r="AB27" s="139" t="s">
        <v>399</v>
      </c>
      <c r="AC27" s="139" t="s">
        <v>399</v>
      </c>
      <c r="AD27" s="139" t="s">
        <v>399</v>
      </c>
      <c r="AE27" s="139" t="s">
        <v>399</v>
      </c>
      <c r="AF27" s="139" t="s">
        <v>399</v>
      </c>
      <c r="AG27" s="137"/>
      <c r="AH27" s="137"/>
      <c r="AI27" s="137"/>
      <c r="AJ27" s="137"/>
      <c r="AK27" s="137"/>
      <c r="AL27" s="137"/>
      <c r="AM27" s="137"/>
      <c r="AN27" s="137"/>
      <c r="AO27" s="138"/>
      <c r="AP27" s="138"/>
      <c r="AQ27" s="89"/>
    </row>
    <row r="28" spans="1:43" ht="13.15" customHeight="1" x14ac:dyDescent="0.2">
      <c r="A28" s="20"/>
      <c r="B28" s="424"/>
      <c r="C28" s="28"/>
      <c r="D28" s="27"/>
      <c r="E28" s="320"/>
      <c r="F28" s="124"/>
      <c r="G28" s="124"/>
      <c r="H28" s="124"/>
      <c r="I28" s="124"/>
      <c r="J28" s="354"/>
      <c r="K28" s="321"/>
      <c r="L28" s="124"/>
      <c r="M28" s="124"/>
      <c r="N28" s="354"/>
      <c r="O28" s="110"/>
      <c r="P28" s="110"/>
      <c r="Q28" s="80"/>
      <c r="R28" s="80"/>
      <c r="S28" s="94"/>
      <c r="T28" s="95"/>
      <c r="U28" s="96"/>
      <c r="V28" s="824"/>
      <c r="W28" s="227" t="s">
        <v>296</v>
      </c>
      <c r="X28" s="136"/>
      <c r="Y28" s="142"/>
      <c r="Z28" s="142"/>
      <c r="AA28" s="136"/>
      <c r="AB28" s="136"/>
      <c r="AC28" s="136"/>
      <c r="AD28" s="136"/>
      <c r="AE28" s="136"/>
      <c r="AF28" s="136"/>
      <c r="AG28" s="136"/>
      <c r="AH28" s="137"/>
      <c r="AI28" s="137"/>
      <c r="AJ28" s="137"/>
      <c r="AK28" s="137"/>
      <c r="AL28" s="137"/>
      <c r="AM28" s="137"/>
      <c r="AN28" s="137"/>
      <c r="AO28" s="138"/>
      <c r="AP28" s="138"/>
      <c r="AQ28" s="89"/>
    </row>
    <row r="29" spans="1:43" ht="13.15" customHeight="1" x14ac:dyDescent="0.2">
      <c r="A29" s="19" t="s">
        <v>249</v>
      </c>
      <c r="B29" s="60"/>
      <c r="C29" s="24">
        <v>15</v>
      </c>
      <c r="D29" s="24">
        <v>100</v>
      </c>
      <c r="E29" s="561" t="s">
        <v>271</v>
      </c>
      <c r="F29" s="562"/>
      <c r="G29" s="562"/>
      <c r="H29" s="562"/>
      <c r="I29" s="562"/>
      <c r="J29" s="563"/>
      <c r="K29" s="564" t="s">
        <v>323</v>
      </c>
      <c r="L29" s="562"/>
      <c r="M29" s="562"/>
      <c r="N29" s="563"/>
      <c r="O29" s="97" t="s">
        <v>236</v>
      </c>
      <c r="P29" s="97" t="s">
        <v>246</v>
      </c>
      <c r="Q29" s="565" t="s">
        <v>307</v>
      </c>
      <c r="R29" s="566"/>
      <c r="S29" s="694" t="s">
        <v>548</v>
      </c>
      <c r="T29" s="91"/>
      <c r="U29" s="92"/>
      <c r="V29" s="824"/>
      <c r="W29" s="1">
        <v>150</v>
      </c>
      <c r="X29" s="136"/>
      <c r="Y29" s="142"/>
      <c r="Z29" s="142"/>
      <c r="AA29" s="136"/>
      <c r="AB29" s="136"/>
      <c r="AC29" s="136"/>
      <c r="AD29" s="136"/>
      <c r="AE29" s="136"/>
      <c r="AF29" s="136"/>
      <c r="AG29" s="136"/>
      <c r="AH29" s="136"/>
      <c r="AI29" s="137"/>
      <c r="AJ29" s="137"/>
      <c r="AK29" s="137"/>
      <c r="AL29" s="137"/>
      <c r="AM29" s="137"/>
      <c r="AN29" s="137"/>
      <c r="AO29" s="138"/>
      <c r="AP29" s="138"/>
      <c r="AQ29" s="89"/>
    </row>
    <row r="30" spans="1:43" ht="13.15" customHeight="1" x14ac:dyDescent="0.2">
      <c r="A30" s="19" t="s">
        <v>250</v>
      </c>
      <c r="B30" s="60"/>
      <c r="C30" s="210" t="s">
        <v>236</v>
      </c>
      <c r="D30" s="210" t="s">
        <v>236</v>
      </c>
      <c r="E30" s="583" t="s">
        <v>325</v>
      </c>
      <c r="F30" s="549"/>
      <c r="G30" s="549"/>
      <c r="H30" s="549"/>
      <c r="I30" s="549"/>
      <c r="J30" s="550"/>
      <c r="K30" s="584" t="s">
        <v>322</v>
      </c>
      <c r="L30" s="549"/>
      <c r="M30" s="549"/>
      <c r="N30" s="550"/>
      <c r="O30" s="98" t="s">
        <v>236</v>
      </c>
      <c r="P30" s="98" t="s">
        <v>246</v>
      </c>
      <c r="Q30" s="585" t="s">
        <v>347</v>
      </c>
      <c r="R30" s="615"/>
      <c r="S30" s="833"/>
      <c r="U30" s="89"/>
      <c r="V30" s="824"/>
      <c r="W30" s="1">
        <v>200</v>
      </c>
      <c r="X30" s="136"/>
      <c r="Y30" s="142"/>
      <c r="Z30" s="142"/>
      <c r="AA30" s="136"/>
      <c r="AB30" s="136"/>
      <c r="AC30" s="136"/>
      <c r="AD30" s="136"/>
      <c r="AE30" s="136"/>
      <c r="AF30" s="136"/>
      <c r="AG30" s="136"/>
      <c r="AH30" s="136"/>
      <c r="AI30" s="136"/>
      <c r="AJ30" s="137"/>
      <c r="AK30" s="137"/>
      <c r="AL30" s="137"/>
      <c r="AM30" s="137"/>
      <c r="AN30" s="137"/>
      <c r="AO30" s="138"/>
      <c r="AP30" s="138"/>
      <c r="AQ30" s="89"/>
    </row>
    <row r="31" spans="1:43" ht="13.15" customHeight="1" x14ac:dyDescent="0.2">
      <c r="A31" s="19"/>
      <c r="B31" s="60"/>
      <c r="C31" s="210"/>
      <c r="D31" s="210"/>
      <c r="E31" s="155"/>
      <c r="F31" s="160"/>
      <c r="G31" s="160"/>
      <c r="H31" s="160"/>
      <c r="I31" s="160"/>
      <c r="J31" s="181"/>
      <c r="K31" s="182"/>
      <c r="L31" s="160"/>
      <c r="M31" s="160"/>
      <c r="N31" s="181"/>
      <c r="O31" s="98"/>
      <c r="P31" s="98"/>
      <c r="Q31" s="347"/>
      <c r="R31" s="348"/>
      <c r="S31" s="833"/>
      <c r="U31" s="89"/>
      <c r="V31" s="824"/>
      <c r="W31" s="1">
        <v>250</v>
      </c>
      <c r="X31" s="136"/>
      <c r="Y31" s="142"/>
      <c r="Z31" s="142"/>
      <c r="AA31" s="139"/>
      <c r="AB31" s="139"/>
      <c r="AC31" s="136"/>
      <c r="AD31" s="136"/>
      <c r="AE31" s="136"/>
      <c r="AF31" s="136"/>
      <c r="AG31" s="136"/>
      <c r="AH31" s="136"/>
      <c r="AI31" s="136"/>
      <c r="AJ31" s="136"/>
      <c r="AK31" s="137"/>
      <c r="AL31" s="137"/>
      <c r="AM31" s="137"/>
      <c r="AN31" s="137"/>
      <c r="AO31" s="138"/>
      <c r="AP31" s="138"/>
      <c r="AQ31" s="89"/>
    </row>
    <row r="32" spans="1:43" ht="13.15" customHeight="1" x14ac:dyDescent="0.2">
      <c r="A32" s="19"/>
      <c r="B32" s="60"/>
      <c r="C32" s="210"/>
      <c r="D32" s="210"/>
      <c r="E32" s="155"/>
      <c r="F32" s="160"/>
      <c r="G32" s="160"/>
      <c r="H32" s="160"/>
      <c r="I32" s="160"/>
      <c r="J32" s="181"/>
      <c r="K32" s="182"/>
      <c r="L32" s="160"/>
      <c r="M32" s="160"/>
      <c r="N32" s="181"/>
      <c r="O32" s="98"/>
      <c r="P32" s="98"/>
      <c r="Q32" s="347"/>
      <c r="R32" s="348"/>
      <c r="S32" s="833"/>
      <c r="U32" s="89"/>
      <c r="V32" s="824"/>
      <c r="W32" s="1">
        <v>300</v>
      </c>
      <c r="X32" s="136"/>
      <c r="Y32" s="142"/>
      <c r="Z32" s="142"/>
      <c r="AA32" s="136"/>
      <c r="AB32" s="136"/>
      <c r="AC32" s="136"/>
      <c r="AD32" s="136"/>
      <c r="AE32" s="136"/>
      <c r="AF32" s="136"/>
      <c r="AG32" s="136"/>
      <c r="AH32" s="136"/>
      <c r="AI32" s="136"/>
      <c r="AJ32" s="136"/>
      <c r="AK32" s="136"/>
      <c r="AL32" s="137"/>
      <c r="AM32" s="137"/>
      <c r="AN32" s="137"/>
      <c r="AO32" s="138"/>
      <c r="AP32" s="138"/>
      <c r="AQ32" s="89"/>
    </row>
    <row r="33" spans="1:43" ht="13.15" customHeight="1" x14ac:dyDescent="0.2">
      <c r="A33" s="19" t="s">
        <v>256</v>
      </c>
      <c r="B33" s="60"/>
      <c r="C33" s="24">
        <v>100</v>
      </c>
      <c r="D33" s="24">
        <v>100</v>
      </c>
      <c r="E33" s="583" t="s">
        <v>528</v>
      </c>
      <c r="F33" s="549"/>
      <c r="G33" s="549"/>
      <c r="H33" s="549"/>
      <c r="I33" s="549"/>
      <c r="J33" s="550"/>
      <c r="K33" s="584" t="s">
        <v>418</v>
      </c>
      <c r="L33" s="549"/>
      <c r="M33" s="549"/>
      <c r="N33" s="550"/>
      <c r="O33" s="98" t="s">
        <v>236</v>
      </c>
      <c r="P33" s="98" t="s">
        <v>328</v>
      </c>
      <c r="Q33" s="585" t="s">
        <v>332</v>
      </c>
      <c r="R33" s="615"/>
      <c r="S33" s="833"/>
      <c r="T33" s="60" t="s">
        <v>524</v>
      </c>
      <c r="U33" s="89"/>
      <c r="V33" s="824"/>
      <c r="W33" s="1">
        <v>350</v>
      </c>
      <c r="X33" s="136"/>
      <c r="Y33" s="142"/>
      <c r="Z33" s="142"/>
      <c r="AA33" s="136"/>
      <c r="AB33" s="136"/>
      <c r="AC33" s="136"/>
      <c r="AD33" s="136"/>
      <c r="AE33" s="136"/>
      <c r="AF33" s="136"/>
      <c r="AG33" s="136"/>
      <c r="AH33" s="136"/>
      <c r="AI33" s="136"/>
      <c r="AJ33" s="136"/>
      <c r="AK33" s="136"/>
      <c r="AL33" s="136"/>
      <c r="AM33" s="137"/>
      <c r="AN33" s="137"/>
      <c r="AO33" s="138"/>
      <c r="AP33" s="138"/>
      <c r="AQ33" s="89"/>
    </row>
    <row r="34" spans="1:43" ht="13.15" customHeight="1" x14ac:dyDescent="0.2">
      <c r="A34" s="19"/>
      <c r="B34" s="60"/>
      <c r="C34" s="24"/>
      <c r="D34" s="24"/>
      <c r="E34" s="583"/>
      <c r="F34" s="549"/>
      <c r="G34" s="549"/>
      <c r="H34" s="549"/>
      <c r="I34" s="549"/>
      <c r="J34" s="550"/>
      <c r="K34" s="584"/>
      <c r="L34" s="549"/>
      <c r="M34" s="549"/>
      <c r="N34" s="550"/>
      <c r="O34" s="165"/>
      <c r="P34" s="98"/>
      <c r="Q34" s="585"/>
      <c r="R34" s="615"/>
      <c r="S34" s="833"/>
      <c r="U34" s="89"/>
      <c r="V34" s="824"/>
      <c r="W34" s="1">
        <v>400</v>
      </c>
      <c r="X34" s="140"/>
      <c r="Y34" s="142"/>
      <c r="Z34" s="142"/>
      <c r="AA34" s="140"/>
      <c r="AB34" s="140"/>
      <c r="AC34" s="140"/>
      <c r="AD34" s="140"/>
      <c r="AE34" s="140"/>
      <c r="AF34" s="140"/>
      <c r="AG34" s="140"/>
      <c r="AH34" s="140"/>
      <c r="AI34" s="140"/>
      <c r="AJ34" s="141"/>
      <c r="AK34" s="140"/>
      <c r="AL34" s="141"/>
      <c r="AM34" s="141"/>
      <c r="AN34" s="137"/>
      <c r="AO34" s="138"/>
      <c r="AP34" s="138"/>
      <c r="AQ34" s="89"/>
    </row>
    <row r="35" spans="1:43" ht="13.15" customHeight="1" x14ac:dyDescent="0.2">
      <c r="A35" s="19"/>
      <c r="B35" s="60"/>
      <c r="C35" s="24"/>
      <c r="D35" s="24"/>
      <c r="E35" s="583" t="s">
        <v>530</v>
      </c>
      <c r="F35" s="549"/>
      <c r="G35" s="549"/>
      <c r="H35" s="549"/>
      <c r="I35" s="549"/>
      <c r="J35" s="550"/>
      <c r="K35" s="584">
        <v>1.5415000000000001</v>
      </c>
      <c r="L35" s="549"/>
      <c r="M35" s="549"/>
      <c r="N35" s="550"/>
      <c r="O35" s="98" t="s">
        <v>236</v>
      </c>
      <c r="P35" s="98" t="s">
        <v>257</v>
      </c>
      <c r="Q35" s="585" t="s">
        <v>721</v>
      </c>
      <c r="R35" s="615"/>
      <c r="S35" s="833"/>
      <c r="U35" s="89"/>
      <c r="V35" s="824"/>
      <c r="W35" s="1">
        <v>450</v>
      </c>
      <c r="X35" s="141"/>
      <c r="Y35" s="142"/>
      <c r="Z35" s="142"/>
      <c r="AA35" s="140"/>
      <c r="AB35" s="140"/>
      <c r="AC35" s="140"/>
      <c r="AD35" s="140"/>
      <c r="AE35" s="140"/>
      <c r="AF35" s="140"/>
      <c r="AG35" s="140"/>
      <c r="AH35" s="140"/>
      <c r="AI35" s="140"/>
      <c r="AJ35" s="141"/>
      <c r="AK35" s="140"/>
      <c r="AL35" s="141"/>
      <c r="AM35" s="141"/>
      <c r="AN35" s="141"/>
      <c r="AO35" s="138"/>
      <c r="AP35" s="138"/>
      <c r="AQ35" s="89"/>
    </row>
    <row r="36" spans="1:43" ht="13.15" customHeight="1" x14ac:dyDescent="0.2">
      <c r="A36" s="19"/>
      <c r="B36" s="60"/>
      <c r="C36" s="24"/>
      <c r="D36" s="24"/>
      <c r="E36" s="583" t="s">
        <v>327</v>
      </c>
      <c r="F36" s="549"/>
      <c r="G36" s="549"/>
      <c r="H36" s="549"/>
      <c r="I36" s="549"/>
      <c r="J36" s="550"/>
      <c r="K36" s="584" t="s">
        <v>330</v>
      </c>
      <c r="L36" s="549"/>
      <c r="M36" s="549"/>
      <c r="N36" s="550"/>
      <c r="O36" s="98" t="s">
        <v>236</v>
      </c>
      <c r="P36" s="98" t="s">
        <v>257</v>
      </c>
      <c r="Q36" s="585" t="s">
        <v>329</v>
      </c>
      <c r="R36" s="615"/>
      <c r="S36" s="833"/>
      <c r="U36" s="89"/>
      <c r="V36" s="658"/>
      <c r="W36" s="1">
        <v>500</v>
      </c>
      <c r="X36" s="136"/>
      <c r="Y36" s="142"/>
      <c r="Z36" s="142"/>
      <c r="AA36" s="136"/>
      <c r="AB36" s="136"/>
      <c r="AC36" s="136"/>
      <c r="AD36" s="136"/>
      <c r="AE36" s="136"/>
      <c r="AF36" s="136"/>
      <c r="AG36" s="136"/>
      <c r="AH36" s="136"/>
      <c r="AI36" s="136"/>
      <c r="AJ36" s="139"/>
      <c r="AK36" s="136"/>
      <c r="AL36" s="136"/>
      <c r="AM36" s="136"/>
      <c r="AN36" s="136"/>
      <c r="AO36" s="136"/>
      <c r="AP36" s="138"/>
      <c r="AQ36" s="89"/>
    </row>
    <row r="37" spans="1:43" ht="13.15" customHeight="1" x14ac:dyDescent="0.2">
      <c r="A37" s="19" t="s">
        <v>258</v>
      </c>
      <c r="B37" s="60"/>
      <c r="C37" s="24">
        <v>15</v>
      </c>
      <c r="D37" s="24">
        <v>40</v>
      </c>
      <c r="E37" s="583" t="s">
        <v>271</v>
      </c>
      <c r="F37" s="549"/>
      <c r="G37" s="549"/>
      <c r="H37" s="549"/>
      <c r="I37" s="549"/>
      <c r="J37" s="550"/>
      <c r="K37" s="584" t="s">
        <v>323</v>
      </c>
      <c r="L37" s="549"/>
      <c r="M37" s="549"/>
      <c r="N37" s="550"/>
      <c r="O37" s="98" t="s">
        <v>236</v>
      </c>
      <c r="P37" s="98" t="s">
        <v>246</v>
      </c>
      <c r="Q37" s="585" t="s">
        <v>307</v>
      </c>
      <c r="R37" s="615"/>
      <c r="S37" s="833"/>
      <c r="U37" s="89"/>
      <c r="V37" s="658"/>
      <c r="W37" s="1">
        <v>600</v>
      </c>
      <c r="X37" s="136"/>
      <c r="Y37" s="142"/>
      <c r="Z37" s="142"/>
      <c r="AA37" s="136"/>
      <c r="AB37" s="136"/>
      <c r="AC37" s="136"/>
      <c r="AD37" s="136"/>
      <c r="AE37" s="136"/>
      <c r="AF37" s="136"/>
      <c r="AG37" s="136"/>
      <c r="AH37" s="136"/>
      <c r="AI37" s="136"/>
      <c r="AJ37" s="136"/>
      <c r="AK37" s="136"/>
      <c r="AL37" s="136"/>
      <c r="AM37" s="136"/>
      <c r="AN37" s="136"/>
      <c r="AO37" s="136"/>
      <c r="AP37" s="136"/>
      <c r="AQ37" s="89"/>
    </row>
    <row r="38" spans="1:43" ht="13.15" customHeight="1" x14ac:dyDescent="0.2">
      <c r="A38" s="19"/>
      <c r="B38" s="60"/>
      <c r="C38" s="24">
        <v>50</v>
      </c>
      <c r="D38" s="24">
        <v>100</v>
      </c>
      <c r="E38" s="713" t="s">
        <v>378</v>
      </c>
      <c r="F38" s="714"/>
      <c r="G38" s="714"/>
      <c r="H38" s="714"/>
      <c r="I38" s="714"/>
      <c r="J38" s="715"/>
      <c r="K38" s="720" t="s">
        <v>418</v>
      </c>
      <c r="L38" s="714"/>
      <c r="M38" s="714"/>
      <c r="N38" s="715"/>
      <c r="O38" s="110" t="s">
        <v>236</v>
      </c>
      <c r="P38" s="110" t="s">
        <v>328</v>
      </c>
      <c r="Q38" s="720" t="s">
        <v>332</v>
      </c>
      <c r="R38" s="835"/>
      <c r="S38" s="834"/>
      <c r="T38" s="95"/>
      <c r="U38" s="96"/>
      <c r="V38" s="21"/>
      <c r="W38"/>
      <c r="X38">
        <v>15</v>
      </c>
      <c r="Y38" s="453" t="s">
        <v>642</v>
      </c>
      <c r="Z38">
        <v>25</v>
      </c>
      <c r="AA38" s="453" t="s">
        <v>643</v>
      </c>
      <c r="AB38">
        <v>40</v>
      </c>
      <c r="AC38">
        <v>50</v>
      </c>
      <c r="AD38" s="228" t="s">
        <v>295</v>
      </c>
      <c r="AE38">
        <v>80</v>
      </c>
      <c r="AF38">
        <v>100</v>
      </c>
      <c r="AG38" s="228" t="s">
        <v>296</v>
      </c>
      <c r="AH38">
        <v>150</v>
      </c>
      <c r="AI38">
        <v>200</v>
      </c>
      <c r="AJ38">
        <v>250</v>
      </c>
      <c r="AK38">
        <v>300</v>
      </c>
      <c r="AL38">
        <v>350</v>
      </c>
      <c r="AM38" s="2">
        <v>400</v>
      </c>
      <c r="AN38" s="2">
        <v>450</v>
      </c>
      <c r="AO38" s="2">
        <v>500</v>
      </c>
      <c r="AP38" s="2">
        <v>600</v>
      </c>
      <c r="AQ38" s="89"/>
    </row>
    <row r="39" spans="1:43" ht="13.15" customHeight="1" x14ac:dyDescent="0.2">
      <c r="A39" s="26" t="s">
        <v>216</v>
      </c>
      <c r="B39" s="454"/>
      <c r="C39" s="29">
        <v>25</v>
      </c>
      <c r="D39" s="25">
        <v>100</v>
      </c>
      <c r="E39" s="358" t="s">
        <v>384</v>
      </c>
      <c r="F39" s="359"/>
      <c r="G39" s="359"/>
      <c r="H39" s="359"/>
      <c r="I39" s="359"/>
      <c r="J39" s="360"/>
      <c r="K39" s="564" t="s">
        <v>323</v>
      </c>
      <c r="L39" s="562"/>
      <c r="M39" s="562"/>
      <c r="N39" s="563"/>
      <c r="O39" s="97" t="s">
        <v>236</v>
      </c>
      <c r="P39" s="97" t="s">
        <v>246</v>
      </c>
      <c r="Q39" s="565" t="s">
        <v>307</v>
      </c>
      <c r="R39" s="566"/>
      <c r="S39" s="827" t="s">
        <v>357</v>
      </c>
      <c r="T39" s="828"/>
      <c r="U39" s="829"/>
      <c r="V39" s="21"/>
      <c r="X39" s="659" t="s">
        <v>275</v>
      </c>
      <c r="Y39" s="660"/>
      <c r="Z39" s="660"/>
      <c r="AA39" s="660"/>
      <c r="AB39" s="660"/>
      <c r="AC39" s="660"/>
      <c r="AD39" s="660"/>
      <c r="AE39" s="660"/>
      <c r="AF39" s="660"/>
      <c r="AG39" s="660"/>
      <c r="AH39" s="660"/>
      <c r="AI39" s="660"/>
      <c r="AJ39" s="660"/>
      <c r="AK39" s="660"/>
      <c r="AL39" s="660"/>
      <c r="AM39" s="660"/>
      <c r="AN39" s="660"/>
      <c r="AO39" s="660"/>
      <c r="AP39" s="660"/>
      <c r="AQ39" s="89"/>
    </row>
    <row r="40" spans="1:43" ht="13.15" customHeight="1" x14ac:dyDescent="0.2">
      <c r="A40" s="19"/>
      <c r="B40" s="60"/>
      <c r="C40" s="24"/>
      <c r="D40" s="23"/>
      <c r="E40" s="155"/>
      <c r="F40" s="160"/>
      <c r="G40" s="160"/>
      <c r="H40" s="160"/>
      <c r="I40" s="160"/>
      <c r="J40" s="181"/>
      <c r="K40" s="182"/>
      <c r="L40" s="160"/>
      <c r="M40" s="160"/>
      <c r="N40" s="181"/>
      <c r="O40" s="98"/>
      <c r="P40" s="98"/>
      <c r="Q40" s="347"/>
      <c r="R40" s="348"/>
      <c r="S40" s="830"/>
      <c r="T40" s="831"/>
      <c r="U40" s="832"/>
      <c r="V40" s="21"/>
      <c r="AQ40" s="89"/>
    </row>
    <row r="41" spans="1:43" ht="13.15" customHeight="1" x14ac:dyDescent="0.2">
      <c r="A41" s="20"/>
      <c r="B41" s="424"/>
      <c r="C41" s="28"/>
      <c r="D41" s="27"/>
      <c r="E41" s="320"/>
      <c r="F41" s="124"/>
      <c r="G41" s="124"/>
      <c r="H41" s="124"/>
      <c r="I41" s="124"/>
      <c r="J41" s="354"/>
      <c r="K41" s="321"/>
      <c r="L41" s="124"/>
      <c r="M41" s="124"/>
      <c r="N41" s="354"/>
      <c r="O41" s="110"/>
      <c r="P41" s="99"/>
      <c r="Q41" s="80"/>
      <c r="R41" s="80"/>
      <c r="S41" s="94"/>
      <c r="T41" s="95"/>
      <c r="U41" s="96"/>
      <c r="V41" s="21"/>
      <c r="AQ41" s="89"/>
    </row>
    <row r="42" spans="1:43" ht="13.15" customHeight="1" x14ac:dyDescent="0.2">
      <c r="A42" s="19" t="s">
        <v>215</v>
      </c>
      <c r="B42" s="60"/>
      <c r="C42" s="24">
        <v>15</v>
      </c>
      <c r="D42" s="24">
        <v>100</v>
      </c>
      <c r="E42" s="358" t="s">
        <v>247</v>
      </c>
      <c r="F42" s="359"/>
      <c r="G42" s="359"/>
      <c r="H42" s="359"/>
      <c r="I42" s="359"/>
      <c r="J42" s="360"/>
      <c r="K42" s="564" t="s">
        <v>536</v>
      </c>
      <c r="L42" s="562"/>
      <c r="M42" s="562"/>
      <c r="N42" s="563"/>
      <c r="O42" s="97" t="s">
        <v>236</v>
      </c>
      <c r="P42" s="97" t="s">
        <v>246</v>
      </c>
      <c r="Q42" s="565" t="s">
        <v>307</v>
      </c>
      <c r="R42" s="566"/>
      <c r="S42" s="109"/>
      <c r="T42" s="91"/>
      <c r="U42" s="92"/>
      <c r="V42" s="21"/>
      <c r="AQ42" s="89"/>
    </row>
    <row r="43" spans="1:43" ht="13.15" customHeight="1" x14ac:dyDescent="0.2">
      <c r="A43" s="19"/>
      <c r="B43" s="60"/>
      <c r="C43" s="24"/>
      <c r="D43" s="24"/>
      <c r="E43" s="155"/>
      <c r="F43" s="160"/>
      <c r="G43" s="160"/>
      <c r="H43" s="160"/>
      <c r="I43" s="160"/>
      <c r="J43" s="181"/>
      <c r="K43" s="182"/>
      <c r="L43" s="160"/>
      <c r="M43" s="160"/>
      <c r="N43" s="181"/>
      <c r="O43" s="98"/>
      <c r="P43" s="98"/>
      <c r="Q43" s="347"/>
      <c r="R43" s="161"/>
      <c r="S43" s="88"/>
      <c r="U43" s="89"/>
      <c r="V43" s="21"/>
      <c r="AQ43" s="89"/>
    </row>
    <row r="44" spans="1:43" ht="13.15" customHeight="1" x14ac:dyDescent="0.2">
      <c r="A44" s="20"/>
      <c r="B44" s="424"/>
      <c r="C44" s="28"/>
      <c r="D44" s="28"/>
      <c r="E44" s="320"/>
      <c r="F44" s="124"/>
      <c r="G44" s="124"/>
      <c r="H44" s="124"/>
      <c r="I44" s="124"/>
      <c r="J44" s="354"/>
      <c r="K44" s="321"/>
      <c r="L44" s="124"/>
      <c r="M44" s="124"/>
      <c r="N44" s="354"/>
      <c r="O44" s="110"/>
      <c r="P44" s="110"/>
      <c r="Q44" s="80"/>
      <c r="R44" s="80"/>
      <c r="S44" s="94"/>
      <c r="T44" s="95"/>
      <c r="U44" s="96"/>
      <c r="V44" s="21"/>
      <c r="AQ44" s="89"/>
    </row>
    <row r="45" spans="1:43" ht="13.15" customHeight="1" x14ac:dyDescent="0.2">
      <c r="A45" s="19" t="s">
        <v>214</v>
      </c>
      <c r="B45" s="60"/>
      <c r="C45" s="24">
        <v>15</v>
      </c>
      <c r="D45" s="24">
        <v>100</v>
      </c>
      <c r="E45" s="155" t="s">
        <v>483</v>
      </c>
      <c r="F45" s="160"/>
      <c r="G45" s="160"/>
      <c r="H45" s="160"/>
      <c r="I45" s="160"/>
      <c r="J45" s="181"/>
      <c r="K45" s="564" t="s">
        <v>318</v>
      </c>
      <c r="L45" s="562"/>
      <c r="M45" s="562"/>
      <c r="N45" s="563"/>
      <c r="O45" s="97" t="s">
        <v>337</v>
      </c>
      <c r="P45" s="97" t="s">
        <v>246</v>
      </c>
      <c r="Q45" s="565" t="s">
        <v>309</v>
      </c>
      <c r="R45" s="566"/>
      <c r="S45" s="109"/>
      <c r="T45" s="91"/>
      <c r="U45" s="92"/>
      <c r="V45" s="21"/>
      <c r="AQ45" s="89"/>
    </row>
    <row r="46" spans="1:43" ht="13.15" customHeight="1" x14ac:dyDescent="0.2">
      <c r="A46" s="19"/>
      <c r="B46" s="60"/>
      <c r="C46" s="24"/>
      <c r="D46" s="23"/>
      <c r="E46" s="155"/>
      <c r="F46" s="160"/>
      <c r="G46" s="160"/>
      <c r="H46" s="160"/>
      <c r="I46" s="160"/>
      <c r="J46" s="181"/>
      <c r="K46" s="182"/>
      <c r="L46" s="160"/>
      <c r="M46" s="160"/>
      <c r="N46" s="181"/>
      <c r="O46" s="98"/>
      <c r="P46" s="98"/>
      <c r="Q46" s="347"/>
      <c r="R46" s="161"/>
      <c r="S46" s="88"/>
      <c r="U46" s="89"/>
      <c r="V46" s="21"/>
      <c r="AQ46" s="89"/>
    </row>
    <row r="47" spans="1:43" ht="13.15" customHeight="1" x14ac:dyDescent="0.2">
      <c r="A47" s="19"/>
      <c r="B47" s="60"/>
      <c r="C47" s="28"/>
      <c r="D47" s="27"/>
      <c r="E47" s="320"/>
      <c r="F47" s="349"/>
      <c r="G47" s="349"/>
      <c r="H47" s="349"/>
      <c r="I47" s="349"/>
      <c r="J47" s="350"/>
      <c r="K47" s="321"/>
      <c r="L47" s="349"/>
      <c r="M47" s="349"/>
      <c r="N47" s="350"/>
      <c r="O47" s="110"/>
      <c r="P47" s="110"/>
      <c r="Q47" s="353"/>
      <c r="R47" s="352"/>
      <c r="S47" s="94"/>
      <c r="T47" s="95"/>
      <c r="U47" s="96"/>
      <c r="V47" s="21"/>
      <c r="AQ47" s="89"/>
    </row>
    <row r="48" spans="1:43" ht="13.15" customHeight="1" x14ac:dyDescent="0.2">
      <c r="A48" s="26" t="s">
        <v>213</v>
      </c>
      <c r="B48" s="435"/>
      <c r="C48" s="24">
        <v>15</v>
      </c>
      <c r="D48" s="24">
        <v>100</v>
      </c>
      <c r="E48" s="358" t="s">
        <v>514</v>
      </c>
      <c r="F48" s="359"/>
      <c r="G48" s="359"/>
      <c r="H48" s="359"/>
      <c r="I48" s="359"/>
      <c r="J48" s="360"/>
      <c r="K48" s="564" t="s">
        <v>319</v>
      </c>
      <c r="L48" s="562"/>
      <c r="M48" s="562"/>
      <c r="N48" s="563"/>
      <c r="O48" s="97" t="s">
        <v>337</v>
      </c>
      <c r="P48" s="98" t="s">
        <v>248</v>
      </c>
      <c r="Q48" s="565" t="s">
        <v>309</v>
      </c>
      <c r="R48" s="566"/>
      <c r="S48" s="109"/>
      <c r="T48" s="91"/>
      <c r="U48" s="92"/>
      <c r="V48" s="21"/>
      <c r="AQ48" s="89"/>
    </row>
    <row r="49" spans="1:43" ht="13.15" customHeight="1" x14ac:dyDescent="0.2">
      <c r="A49" s="19"/>
      <c r="B49" s="60"/>
      <c r="C49" s="24"/>
      <c r="D49" s="24"/>
      <c r="E49" s="155"/>
      <c r="F49" s="160"/>
      <c r="G49" s="160"/>
      <c r="H49" s="160"/>
      <c r="I49" s="160"/>
      <c r="J49" s="181"/>
      <c r="K49" s="182"/>
      <c r="L49" s="160"/>
      <c r="M49" s="160"/>
      <c r="N49" s="160"/>
      <c r="O49" s="98"/>
      <c r="P49" s="98"/>
      <c r="Q49" s="347"/>
      <c r="R49" s="161"/>
      <c r="S49" s="88"/>
      <c r="U49" s="89"/>
      <c r="V49" s="21"/>
      <c r="AQ49" s="89"/>
    </row>
    <row r="50" spans="1:43" ht="13.15" customHeight="1" x14ac:dyDescent="0.2">
      <c r="A50" s="20"/>
      <c r="B50" s="424"/>
      <c r="C50" s="28"/>
      <c r="D50" s="28"/>
      <c r="E50" s="320"/>
      <c r="F50" s="124"/>
      <c r="G50" s="124"/>
      <c r="H50" s="124"/>
      <c r="I50" s="124"/>
      <c r="J50" s="354"/>
      <c r="K50" s="321"/>
      <c r="L50" s="124"/>
      <c r="M50" s="124"/>
      <c r="N50" s="124"/>
      <c r="O50" s="110"/>
      <c r="P50" s="110"/>
      <c r="Q50" s="80"/>
      <c r="R50" s="80"/>
      <c r="S50" s="94"/>
      <c r="T50" s="95"/>
      <c r="U50" s="96"/>
      <c r="V50" s="21"/>
      <c r="AQ50" s="89"/>
    </row>
    <row r="51" spans="1:43" ht="13.15" customHeight="1" x14ac:dyDescent="0.2">
      <c r="A51" s="19" t="s">
        <v>264</v>
      </c>
      <c r="B51" s="60"/>
      <c r="C51" s="24" t="s">
        <v>313</v>
      </c>
      <c r="D51" s="24" t="s">
        <v>338</v>
      </c>
      <c r="E51" s="358" t="s">
        <v>367</v>
      </c>
      <c r="F51" s="359"/>
      <c r="G51" s="359"/>
      <c r="H51" s="359"/>
      <c r="I51" s="359"/>
      <c r="J51" s="360"/>
      <c r="K51" s="564" t="s">
        <v>655</v>
      </c>
      <c r="L51" s="562"/>
      <c r="M51" s="562"/>
      <c r="N51" s="563"/>
      <c r="O51" s="97" t="s">
        <v>337</v>
      </c>
      <c r="P51" s="97" t="s">
        <v>257</v>
      </c>
      <c r="Q51" s="565" t="s">
        <v>311</v>
      </c>
      <c r="R51" s="566"/>
      <c r="S51" s="109"/>
      <c r="T51" s="91"/>
      <c r="U51" s="92"/>
      <c r="V51" s="21"/>
      <c r="AQ51" s="89"/>
    </row>
    <row r="52" spans="1:43" ht="13.15" customHeight="1" x14ac:dyDescent="0.2">
      <c r="A52" s="20"/>
      <c r="B52" s="424"/>
      <c r="C52" s="28"/>
      <c r="D52" s="28"/>
      <c r="E52" s="320"/>
      <c r="F52" s="349"/>
      <c r="G52" s="349"/>
      <c r="H52" s="349"/>
      <c r="I52" s="349"/>
      <c r="J52" s="350"/>
      <c r="K52" s="321"/>
      <c r="L52" s="349"/>
      <c r="M52" s="349"/>
      <c r="N52" s="350"/>
      <c r="O52" s="146"/>
      <c r="P52" s="146"/>
      <c r="Q52" s="351"/>
      <c r="R52" s="352"/>
      <c r="S52" s="88"/>
      <c r="U52" s="89"/>
      <c r="V52" s="21"/>
      <c r="AQ52" s="89"/>
    </row>
    <row r="53" spans="1:43" ht="13.15" customHeight="1" x14ac:dyDescent="0.2">
      <c r="A53" s="19" t="s">
        <v>212</v>
      </c>
      <c r="B53" s="60"/>
      <c r="C53" s="24" t="s">
        <v>313</v>
      </c>
      <c r="D53" s="24" t="s">
        <v>338</v>
      </c>
      <c r="E53" s="358" t="s">
        <v>315</v>
      </c>
      <c r="F53" s="359"/>
      <c r="G53" s="359"/>
      <c r="H53" s="359"/>
      <c r="I53" s="359"/>
      <c r="J53" s="360"/>
      <c r="K53" s="564" t="s">
        <v>655</v>
      </c>
      <c r="L53" s="562"/>
      <c r="M53" s="562"/>
      <c r="N53" s="563"/>
      <c r="O53" s="97" t="s">
        <v>337</v>
      </c>
      <c r="P53" s="97" t="s">
        <v>257</v>
      </c>
      <c r="Q53" s="565" t="s">
        <v>316</v>
      </c>
      <c r="R53" s="566"/>
      <c r="S53" s="109"/>
      <c r="T53" s="91"/>
      <c r="U53" s="92"/>
      <c r="V53" s="21"/>
      <c r="AQ53" s="89"/>
    </row>
    <row r="54" spans="1:43" ht="13.15" customHeight="1" x14ac:dyDescent="0.2">
      <c r="A54" s="20"/>
      <c r="B54" s="424"/>
      <c r="C54" s="28"/>
      <c r="D54" s="28"/>
      <c r="E54" s="320"/>
      <c r="F54" s="349"/>
      <c r="G54" s="349"/>
      <c r="H54" s="349"/>
      <c r="I54" s="349"/>
      <c r="J54" s="350"/>
      <c r="K54" s="321"/>
      <c r="L54" s="349"/>
      <c r="M54" s="349"/>
      <c r="N54" s="350"/>
      <c r="O54" s="110"/>
      <c r="P54" s="110"/>
      <c r="Q54" s="353"/>
      <c r="R54" s="352"/>
      <c r="S54" s="94"/>
      <c r="T54" s="95"/>
      <c r="U54" s="96"/>
      <c r="V54" s="21"/>
      <c r="W54" s="310"/>
      <c r="X54" s="310"/>
      <c r="Y54" s="311"/>
      <c r="Z54" s="311"/>
      <c r="AA54" s="311"/>
      <c r="AB54" s="311"/>
      <c r="AC54" s="311"/>
      <c r="AD54" s="311"/>
      <c r="AE54" s="310"/>
      <c r="AF54" s="311"/>
      <c r="AG54" s="311"/>
      <c r="AH54" s="311"/>
      <c r="AI54" s="310"/>
      <c r="AJ54" s="310"/>
      <c r="AK54" s="310"/>
      <c r="AL54" s="311"/>
      <c r="AM54" s="310"/>
      <c r="AN54" s="161"/>
      <c r="AO54" s="161"/>
      <c r="AP54" s="311"/>
      <c r="AQ54" s="89"/>
    </row>
    <row r="55" spans="1:43" ht="13.15" customHeight="1" x14ac:dyDescent="0.2">
      <c r="A55" s="19" t="s">
        <v>211</v>
      </c>
      <c r="B55" s="60"/>
      <c r="C55" s="29">
        <v>15</v>
      </c>
      <c r="D55" s="25">
        <v>100</v>
      </c>
      <c r="E55" s="155" t="s">
        <v>263</v>
      </c>
      <c r="F55" s="160"/>
      <c r="G55" s="160"/>
      <c r="H55" s="160"/>
      <c r="I55" s="160"/>
      <c r="J55" s="181"/>
      <c r="K55" s="564" t="s">
        <v>724</v>
      </c>
      <c r="L55" s="562"/>
      <c r="M55" s="562"/>
      <c r="N55" s="563"/>
      <c r="O55" s="97" t="s">
        <v>337</v>
      </c>
      <c r="P55" s="97" t="s">
        <v>248</v>
      </c>
      <c r="Q55" s="565" t="s">
        <v>339</v>
      </c>
      <c r="R55" s="566"/>
      <c r="S55" s="825" t="s">
        <v>669</v>
      </c>
      <c r="T55" s="552"/>
      <c r="U55" s="826"/>
      <c r="V55" s="21"/>
      <c r="W55" s="624" t="s">
        <v>259</v>
      </c>
      <c r="X55" s="551" t="s">
        <v>197</v>
      </c>
      <c r="Y55" s="552"/>
      <c r="Z55" s="552"/>
      <c r="AA55" s="552"/>
      <c r="AB55" s="552"/>
      <c r="AC55" s="552"/>
      <c r="AD55" s="553"/>
      <c r="AE55" s="557" t="s">
        <v>241</v>
      </c>
      <c r="AF55" s="552"/>
      <c r="AG55" s="552"/>
      <c r="AH55" s="553"/>
      <c r="AI55" s="559" t="s">
        <v>243</v>
      </c>
      <c r="AJ55" s="559" t="s">
        <v>242</v>
      </c>
      <c r="AK55" s="557" t="s">
        <v>244</v>
      </c>
      <c r="AL55" s="553"/>
      <c r="AM55" s="557" t="s">
        <v>245</v>
      </c>
      <c r="AN55" s="626"/>
      <c r="AO55" s="626"/>
      <c r="AP55" s="627"/>
      <c r="AQ55" s="89"/>
    </row>
    <row r="56" spans="1:43" ht="13.15" customHeight="1" x14ac:dyDescent="0.2">
      <c r="A56" s="19"/>
      <c r="B56" s="60"/>
      <c r="C56" s="24"/>
      <c r="D56" s="23"/>
      <c r="E56" s="520"/>
      <c r="F56" s="508"/>
      <c r="G56" s="508"/>
      <c r="H56" s="508"/>
      <c r="I56" s="508"/>
      <c r="J56" s="521"/>
      <c r="K56" s="517"/>
      <c r="L56" s="508"/>
      <c r="M56" s="508"/>
      <c r="N56" s="521"/>
      <c r="O56" s="165"/>
      <c r="P56" s="165"/>
      <c r="Q56" s="508"/>
      <c r="R56" s="508"/>
      <c r="S56" s="88"/>
      <c r="U56" s="89"/>
      <c r="V56" s="21"/>
      <c r="W56" s="625"/>
      <c r="X56" s="554"/>
      <c r="Y56" s="555"/>
      <c r="Z56" s="555"/>
      <c r="AA56" s="555"/>
      <c r="AB56" s="555"/>
      <c r="AC56" s="555"/>
      <c r="AD56" s="556"/>
      <c r="AE56" s="558"/>
      <c r="AF56" s="555"/>
      <c r="AG56" s="555"/>
      <c r="AH56" s="556"/>
      <c r="AI56" s="560"/>
      <c r="AJ56" s="560"/>
      <c r="AK56" s="558"/>
      <c r="AL56" s="556"/>
      <c r="AM56" s="628"/>
      <c r="AN56" s="586"/>
      <c r="AO56" s="586"/>
      <c r="AP56" s="629"/>
      <c r="AQ56" s="89"/>
    </row>
    <row r="57" spans="1:43" ht="13.15" customHeight="1" x14ac:dyDescent="0.2">
      <c r="A57" s="19"/>
      <c r="B57" s="60"/>
      <c r="C57" s="28"/>
      <c r="D57" s="27"/>
      <c r="E57" s="122"/>
      <c r="F57" s="123"/>
      <c r="G57" s="123"/>
      <c r="H57" s="123"/>
      <c r="I57" s="123"/>
      <c r="J57" s="112"/>
      <c r="K57" s="355"/>
      <c r="L57" s="123"/>
      <c r="M57" s="123"/>
      <c r="N57" s="112"/>
      <c r="O57" s="146"/>
      <c r="P57" s="146"/>
      <c r="Q57" s="123"/>
      <c r="R57" s="522"/>
      <c r="S57" s="88"/>
      <c r="U57" s="89"/>
      <c r="V57" s="21"/>
      <c r="W57" s="127" t="s">
        <v>390</v>
      </c>
      <c r="X57" s="630" t="s">
        <v>349</v>
      </c>
      <c r="Y57" s="552"/>
      <c r="Z57" s="552"/>
      <c r="AA57" s="552"/>
      <c r="AB57" s="552"/>
      <c r="AC57" s="552"/>
      <c r="AD57" s="553"/>
      <c r="AE57" s="572">
        <v>1.0345</v>
      </c>
      <c r="AF57" s="573"/>
      <c r="AG57" s="573"/>
      <c r="AH57" s="574"/>
      <c r="AI57" s="125" t="s">
        <v>236</v>
      </c>
      <c r="AJ57" s="125" t="s">
        <v>246</v>
      </c>
      <c r="AK57" s="575" t="s">
        <v>348</v>
      </c>
      <c r="AL57" s="576"/>
      <c r="AM57" s="90"/>
      <c r="AN57" s="91"/>
      <c r="AO57" s="91"/>
      <c r="AP57" s="129"/>
      <c r="AQ57" s="89"/>
    </row>
    <row r="58" spans="1:43" ht="13.15" customHeight="1" x14ac:dyDescent="0.2">
      <c r="A58" s="375" t="s">
        <v>547</v>
      </c>
      <c r="B58" s="462"/>
      <c r="C58" s="376"/>
      <c r="D58" s="376"/>
      <c r="E58" s="587"/>
      <c r="F58" s="588"/>
      <c r="G58" s="588"/>
      <c r="H58" s="588"/>
      <c r="I58" s="588"/>
      <c r="J58" s="589"/>
      <c r="K58" s="590"/>
      <c r="L58" s="588"/>
      <c r="M58" s="588"/>
      <c r="N58" s="589"/>
      <c r="O58" s="377" t="s">
        <v>337</v>
      </c>
      <c r="P58" s="377"/>
      <c r="Q58" s="591" t="s">
        <v>549</v>
      </c>
      <c r="R58" s="592"/>
      <c r="S58" s="378"/>
      <c r="T58" s="379"/>
      <c r="U58" s="380"/>
      <c r="V58" s="21"/>
      <c r="W58" s="128" t="s">
        <v>391</v>
      </c>
      <c r="X58" s="546" t="s">
        <v>350</v>
      </c>
      <c r="Y58" s="547"/>
      <c r="Z58" s="547"/>
      <c r="AA58" s="547"/>
      <c r="AB58" s="547"/>
      <c r="AC58" s="547"/>
      <c r="AD58" s="548"/>
      <c r="AE58" s="541">
        <v>1.0345</v>
      </c>
      <c r="AF58" s="542"/>
      <c r="AG58" s="542"/>
      <c r="AH58" s="543"/>
      <c r="AI58" s="126" t="s">
        <v>236</v>
      </c>
      <c r="AJ58" s="126" t="s">
        <v>246</v>
      </c>
      <c r="AK58" s="544" t="s">
        <v>348</v>
      </c>
      <c r="AL58" s="545"/>
      <c r="AM58" s="88"/>
      <c r="AP58" s="130"/>
      <c r="AQ58" s="89"/>
    </row>
    <row r="59" spans="1:43" ht="13.15" customHeight="1" x14ac:dyDescent="0.2">
      <c r="A59" s="26" t="s">
        <v>278</v>
      </c>
      <c r="B59" s="60"/>
      <c r="C59" s="24" t="s">
        <v>210</v>
      </c>
      <c r="D59" s="25">
        <v>50</v>
      </c>
      <c r="E59" s="561" t="s">
        <v>510</v>
      </c>
      <c r="F59" s="595"/>
      <c r="G59" s="595"/>
      <c r="H59" s="595"/>
      <c r="I59" s="595"/>
      <c r="J59" s="596"/>
      <c r="K59" s="597" t="s">
        <v>450</v>
      </c>
      <c r="L59" s="598"/>
      <c r="M59" s="598"/>
      <c r="N59" s="599"/>
      <c r="O59" s="97" t="s">
        <v>337</v>
      </c>
      <c r="P59" s="97" t="s">
        <v>283</v>
      </c>
      <c r="Q59" s="565" t="s">
        <v>266</v>
      </c>
      <c r="R59" s="566"/>
      <c r="S59" s="90"/>
      <c r="T59" s="91"/>
      <c r="U59" s="92"/>
      <c r="V59" s="21"/>
      <c r="W59" s="128" t="s">
        <v>345</v>
      </c>
      <c r="X59" s="546" t="s">
        <v>431</v>
      </c>
      <c r="Y59" s="547"/>
      <c r="Z59" s="547"/>
      <c r="AA59" s="547"/>
      <c r="AB59" s="547"/>
      <c r="AC59" s="547"/>
      <c r="AD59" s="548"/>
      <c r="AE59" s="541" t="s">
        <v>408</v>
      </c>
      <c r="AF59" s="542"/>
      <c r="AG59" s="542"/>
      <c r="AH59" s="543"/>
      <c r="AI59" s="126" t="s">
        <v>236</v>
      </c>
      <c r="AJ59" s="126" t="s">
        <v>328</v>
      </c>
      <c r="AK59" s="544" t="s">
        <v>347</v>
      </c>
      <c r="AL59" s="545"/>
      <c r="AM59" s="88"/>
      <c r="AP59" s="130"/>
      <c r="AQ59" s="89"/>
    </row>
    <row r="60" spans="1:43" ht="13.15" customHeight="1" x14ac:dyDescent="0.2">
      <c r="A60" s="178" t="s">
        <v>279</v>
      </c>
      <c r="B60" s="374"/>
      <c r="C60" s="24">
        <v>80</v>
      </c>
      <c r="D60" s="23" t="s">
        <v>277</v>
      </c>
      <c r="E60" s="619" t="s">
        <v>508</v>
      </c>
      <c r="F60" s="620"/>
      <c r="G60" s="620"/>
      <c r="H60" s="620"/>
      <c r="I60" s="620"/>
      <c r="J60" s="621"/>
      <c r="K60" s="567" t="s">
        <v>450</v>
      </c>
      <c r="L60" s="568"/>
      <c r="M60" s="568"/>
      <c r="N60" s="569"/>
      <c r="O60" s="98" t="s">
        <v>337</v>
      </c>
      <c r="P60" s="98" t="s">
        <v>283</v>
      </c>
      <c r="Q60" s="570" t="s">
        <v>266</v>
      </c>
      <c r="R60" s="571"/>
      <c r="S60" s="88"/>
      <c r="U60" s="89"/>
      <c r="V60" s="21"/>
      <c r="W60" s="128" t="s">
        <v>346</v>
      </c>
      <c r="X60" s="546" t="s">
        <v>432</v>
      </c>
      <c r="Y60" s="547"/>
      <c r="Z60" s="547"/>
      <c r="AA60" s="547"/>
      <c r="AB60" s="547"/>
      <c r="AC60" s="547"/>
      <c r="AD60" s="548"/>
      <c r="AE60" s="541" t="s">
        <v>408</v>
      </c>
      <c r="AF60" s="542"/>
      <c r="AG60" s="542"/>
      <c r="AH60" s="543"/>
      <c r="AI60" s="126" t="s">
        <v>236</v>
      </c>
      <c r="AJ60" s="126" t="s">
        <v>328</v>
      </c>
      <c r="AK60" s="544" t="s">
        <v>347</v>
      </c>
      <c r="AL60" s="545"/>
      <c r="AM60" s="329" t="s">
        <v>631</v>
      </c>
      <c r="AP60" s="130"/>
      <c r="AQ60" s="89"/>
    </row>
    <row r="61" spans="1:43" ht="13.15" customHeight="1" x14ac:dyDescent="0.2">
      <c r="A61" s="178" t="s">
        <v>280</v>
      </c>
      <c r="B61" s="374"/>
      <c r="C61" s="24"/>
      <c r="D61" s="23"/>
      <c r="E61" s="184"/>
      <c r="F61" s="179"/>
      <c r="G61" s="179"/>
      <c r="H61" s="179"/>
      <c r="I61" s="179"/>
      <c r="J61" s="179"/>
      <c r="K61" s="179"/>
      <c r="L61" s="179"/>
      <c r="M61" s="179"/>
      <c r="N61" s="179"/>
      <c r="O61" s="179"/>
      <c r="P61" s="179"/>
      <c r="Q61" s="179"/>
      <c r="R61" s="180"/>
      <c r="S61" s="88"/>
      <c r="U61" s="89"/>
      <c r="V61" s="21"/>
      <c r="W61" s="128" t="s">
        <v>328</v>
      </c>
      <c r="X61" s="546" t="s">
        <v>395</v>
      </c>
      <c r="Y61" s="547"/>
      <c r="Z61" s="547"/>
      <c r="AA61" s="547"/>
      <c r="AB61" s="547"/>
      <c r="AC61" s="547"/>
      <c r="AD61" s="548"/>
      <c r="AE61" s="541" t="s">
        <v>417</v>
      </c>
      <c r="AF61" s="542"/>
      <c r="AG61" s="542"/>
      <c r="AH61" s="543"/>
      <c r="AI61" s="126" t="s">
        <v>236</v>
      </c>
      <c r="AJ61" s="126" t="s">
        <v>328</v>
      </c>
      <c r="AK61" s="544" t="s">
        <v>347</v>
      </c>
      <c r="AL61" s="545"/>
      <c r="AM61" s="329" t="s">
        <v>631</v>
      </c>
      <c r="AP61" s="130"/>
      <c r="AQ61" s="89"/>
    </row>
    <row r="62" spans="1:43" ht="13.15" customHeight="1" x14ac:dyDescent="0.2">
      <c r="A62" s="178" t="s">
        <v>281</v>
      </c>
      <c r="B62" s="374"/>
      <c r="C62" s="24"/>
      <c r="D62" s="23"/>
      <c r="E62" s="155"/>
      <c r="F62" s="80"/>
      <c r="G62" s="80"/>
      <c r="H62" s="80"/>
      <c r="I62" s="80"/>
      <c r="J62" s="80"/>
      <c r="K62" s="80"/>
      <c r="L62" s="80"/>
      <c r="M62" s="80"/>
      <c r="N62" s="80"/>
      <c r="O62" s="80"/>
      <c r="P62" s="80"/>
      <c r="Q62" s="80"/>
      <c r="R62" s="80"/>
      <c r="S62" s="88"/>
      <c r="U62" s="89"/>
      <c r="V62" s="21"/>
      <c r="W62" s="128"/>
      <c r="X62" s="260"/>
      <c r="Y62" s="160"/>
      <c r="Z62" s="160"/>
      <c r="AA62" s="160"/>
      <c r="AB62" s="160"/>
      <c r="AE62" s="541"/>
      <c r="AF62" s="542"/>
      <c r="AG62" s="542"/>
      <c r="AH62" s="543"/>
      <c r="AI62" s="126"/>
      <c r="AJ62" s="126"/>
      <c r="AK62" s="544"/>
      <c r="AL62" s="545"/>
      <c r="AM62" s="88"/>
      <c r="AP62" s="130"/>
      <c r="AQ62" s="89"/>
    </row>
    <row r="63" spans="1:43" ht="13.15" customHeight="1" x14ac:dyDescent="0.2">
      <c r="A63" s="178" t="s">
        <v>282</v>
      </c>
      <c r="B63" s="374"/>
      <c r="C63" s="23"/>
      <c r="D63" s="22"/>
      <c r="E63" s="155"/>
      <c r="F63" s="80"/>
      <c r="G63" s="80"/>
      <c r="H63" s="80"/>
      <c r="I63" s="80"/>
      <c r="J63" s="80"/>
      <c r="K63" s="80"/>
      <c r="L63" s="80"/>
      <c r="M63" s="80"/>
      <c r="N63" s="80"/>
      <c r="O63" s="80"/>
      <c r="P63" s="80"/>
      <c r="Q63" s="80"/>
      <c r="R63" s="80"/>
      <c r="S63" s="94"/>
      <c r="T63" s="95"/>
      <c r="U63" s="96"/>
      <c r="V63" s="21"/>
      <c r="W63" s="132"/>
      <c r="X63" s="94"/>
      <c r="Y63" s="95"/>
      <c r="Z63" s="95"/>
      <c r="AA63" s="95"/>
      <c r="AB63" s="95"/>
      <c r="AC63" s="95"/>
      <c r="AD63" s="133"/>
      <c r="AE63" s="134"/>
      <c r="AF63" s="95"/>
      <c r="AG63" s="95"/>
      <c r="AH63" s="133"/>
      <c r="AI63" s="135"/>
      <c r="AJ63" s="135"/>
      <c r="AK63" s="134"/>
      <c r="AL63" s="131"/>
      <c r="AM63" s="95"/>
      <c r="AN63" s="95"/>
      <c r="AO63" s="95"/>
      <c r="AP63" s="131"/>
      <c r="AQ63" s="89"/>
    </row>
    <row r="64" spans="1:43" ht="13.15" customHeight="1" x14ac:dyDescent="0.2">
      <c r="A64" s="741" t="s">
        <v>690</v>
      </c>
      <c r="B64" s="742"/>
      <c r="C64" s="689"/>
      <c r="D64" s="689"/>
      <c r="E64" s="689"/>
      <c r="F64" s="689"/>
      <c r="G64" s="689"/>
      <c r="H64" s="689"/>
      <c r="I64" s="689"/>
      <c r="J64" s="689"/>
      <c r="K64" s="689"/>
      <c r="L64" s="689"/>
      <c r="M64" s="689"/>
      <c r="N64" s="689"/>
      <c r="O64" s="689"/>
      <c r="P64" s="689"/>
      <c r="Q64" s="689"/>
      <c r="R64" s="743"/>
      <c r="S64" s="327" t="s">
        <v>479</v>
      </c>
      <c r="T64" s="91"/>
      <c r="U64" s="92"/>
      <c r="V64" s="21"/>
      <c r="AQ64" s="89"/>
    </row>
    <row r="65" spans="1:43" ht="13.15" customHeight="1" x14ac:dyDescent="0.2">
      <c r="A65" s="744"/>
      <c r="B65" s="692"/>
      <c r="C65" s="692"/>
      <c r="D65" s="692"/>
      <c r="E65" s="692"/>
      <c r="F65" s="692"/>
      <c r="G65" s="692"/>
      <c r="H65" s="692"/>
      <c r="I65" s="692"/>
      <c r="J65" s="692"/>
      <c r="K65" s="692"/>
      <c r="L65" s="692"/>
      <c r="M65" s="692"/>
      <c r="N65" s="692"/>
      <c r="O65" s="692"/>
      <c r="P65" s="692"/>
      <c r="Q65" s="692"/>
      <c r="R65" s="745"/>
      <c r="S65" s="93" t="s">
        <v>480</v>
      </c>
      <c r="U65" s="89"/>
      <c r="V65" s="21"/>
      <c r="AQ65" s="89"/>
    </row>
    <row r="66" spans="1:43" ht="13.15" customHeight="1" x14ac:dyDescent="0.2">
      <c r="A66" s="744"/>
      <c r="B66" s="692"/>
      <c r="C66" s="692"/>
      <c r="D66" s="692"/>
      <c r="E66" s="692"/>
      <c r="F66" s="692"/>
      <c r="G66" s="692"/>
      <c r="H66" s="692"/>
      <c r="I66" s="692"/>
      <c r="J66" s="692"/>
      <c r="K66" s="692"/>
      <c r="L66" s="692"/>
      <c r="M66" s="692"/>
      <c r="N66" s="692"/>
      <c r="O66" s="692"/>
      <c r="P66" s="692"/>
      <c r="Q66" s="692"/>
      <c r="R66" s="745"/>
      <c r="S66" s="93" t="s">
        <v>486</v>
      </c>
      <c r="U66" s="89"/>
      <c r="V66" s="21"/>
      <c r="AQ66" s="89"/>
    </row>
    <row r="67" spans="1:43" ht="13.15" customHeight="1" x14ac:dyDescent="0.2">
      <c r="A67" s="744"/>
      <c r="B67" s="692"/>
      <c r="C67" s="692"/>
      <c r="D67" s="692"/>
      <c r="E67" s="692"/>
      <c r="F67" s="692"/>
      <c r="G67" s="692"/>
      <c r="H67" s="692"/>
      <c r="I67" s="692"/>
      <c r="J67" s="692"/>
      <c r="K67" s="692"/>
      <c r="L67" s="692"/>
      <c r="M67" s="692"/>
      <c r="N67" s="692"/>
      <c r="O67" s="692"/>
      <c r="P67" s="692"/>
      <c r="Q67" s="692"/>
      <c r="R67" s="745"/>
      <c r="S67" s="93" t="s">
        <v>487</v>
      </c>
      <c r="U67" s="89"/>
      <c r="V67" s="21"/>
      <c r="AQ67" s="89"/>
    </row>
    <row r="68" spans="1:43" ht="13.15" customHeight="1" x14ac:dyDescent="0.2">
      <c r="A68" s="744"/>
      <c r="B68" s="692"/>
      <c r="C68" s="692"/>
      <c r="D68" s="692"/>
      <c r="E68" s="692"/>
      <c r="F68" s="692"/>
      <c r="G68" s="692"/>
      <c r="H68" s="692"/>
      <c r="I68" s="692"/>
      <c r="J68" s="692"/>
      <c r="K68" s="692"/>
      <c r="L68" s="692"/>
      <c r="M68" s="692"/>
      <c r="N68" s="692"/>
      <c r="O68" s="692"/>
      <c r="P68" s="692"/>
      <c r="Q68" s="692"/>
      <c r="R68" s="745"/>
      <c r="S68" s="93" t="s">
        <v>488</v>
      </c>
      <c r="U68" s="89"/>
      <c r="V68" s="21"/>
      <c r="AQ68" s="89"/>
    </row>
    <row r="69" spans="1:43" ht="13.15" customHeight="1" x14ac:dyDescent="0.2">
      <c r="A69" s="744"/>
      <c r="B69" s="692"/>
      <c r="C69" s="692"/>
      <c r="D69" s="692"/>
      <c r="E69" s="692"/>
      <c r="F69" s="692"/>
      <c r="G69" s="692"/>
      <c r="H69" s="692"/>
      <c r="I69" s="692"/>
      <c r="J69" s="692"/>
      <c r="K69" s="692"/>
      <c r="L69" s="692"/>
      <c r="M69" s="692"/>
      <c r="N69" s="692"/>
      <c r="O69" s="692"/>
      <c r="P69" s="692"/>
      <c r="Q69" s="692"/>
      <c r="R69" s="745"/>
      <c r="S69" s="60" t="s">
        <v>499</v>
      </c>
      <c r="U69" s="89"/>
      <c r="V69" s="21"/>
      <c r="AQ69" s="89"/>
    </row>
    <row r="70" spans="1:43" ht="13.15" customHeight="1" x14ac:dyDescent="0.2">
      <c r="A70" s="622" t="s">
        <v>535</v>
      </c>
      <c r="B70" s="623"/>
      <c r="C70" s="623"/>
      <c r="D70" s="623"/>
      <c r="E70" s="623"/>
      <c r="F70" s="623"/>
      <c r="G70" s="623"/>
      <c r="H70" s="623"/>
      <c r="I70" s="623"/>
      <c r="J70" s="623"/>
      <c r="K70" s="623"/>
      <c r="L70" s="623"/>
      <c r="M70" s="623"/>
      <c r="N70" s="623"/>
      <c r="O70" s="623"/>
      <c r="P70" s="623"/>
      <c r="Q70" s="623"/>
      <c r="R70" s="623"/>
      <c r="S70" s="93" t="s">
        <v>498</v>
      </c>
      <c r="U70" s="89"/>
      <c r="V70" s="21"/>
      <c r="AQ70" s="89"/>
    </row>
    <row r="71" spans="1:43" ht="13.15" customHeight="1" x14ac:dyDescent="0.2">
      <c r="A71" s="19" t="s">
        <v>260</v>
      </c>
      <c r="B71" s="435"/>
      <c r="C71" s="583" t="s">
        <v>269</v>
      </c>
      <c r="D71" s="602"/>
      <c r="E71" s="602"/>
      <c r="F71" s="602"/>
      <c r="G71" s="602"/>
      <c r="H71" s="602"/>
      <c r="I71" s="602"/>
      <c r="J71" s="602"/>
      <c r="K71" s="602"/>
      <c r="L71" s="602"/>
      <c r="M71" s="602"/>
      <c r="N71" s="602"/>
      <c r="O71" s="602"/>
      <c r="P71" s="602"/>
      <c r="Q71" s="602"/>
      <c r="R71" s="602"/>
      <c r="S71" s="93" t="s">
        <v>489</v>
      </c>
      <c r="U71" s="89"/>
      <c r="V71" s="21"/>
      <c r="AQ71" s="89"/>
    </row>
    <row r="72" spans="1:43" ht="13.15" customHeight="1" x14ac:dyDescent="0.2">
      <c r="A72" s="375" t="s">
        <v>478</v>
      </c>
      <c r="B72" s="463"/>
      <c r="C72" s="587" t="s">
        <v>269</v>
      </c>
      <c r="D72" s="609"/>
      <c r="E72" s="609"/>
      <c r="F72" s="609"/>
      <c r="G72" s="609"/>
      <c r="H72" s="609"/>
      <c r="I72" s="609"/>
      <c r="J72" s="609"/>
      <c r="K72" s="609"/>
      <c r="L72" s="609"/>
      <c r="M72" s="609"/>
      <c r="N72" s="609"/>
      <c r="O72" s="609"/>
      <c r="P72" s="609"/>
      <c r="Q72" s="609"/>
      <c r="R72" s="609"/>
      <c r="S72" s="93" t="s">
        <v>490</v>
      </c>
      <c r="U72" s="89"/>
      <c r="V72" s="21"/>
      <c r="AQ72" s="89"/>
    </row>
    <row r="73" spans="1:43" ht="13.15" customHeight="1" x14ac:dyDescent="0.2">
      <c r="A73" s="19" t="s">
        <v>372</v>
      </c>
      <c r="B73" s="60"/>
      <c r="C73" s="583" t="s">
        <v>320</v>
      </c>
      <c r="D73" s="600"/>
      <c r="E73" s="600"/>
      <c r="F73" s="600"/>
      <c r="G73" s="600"/>
      <c r="H73" s="600"/>
      <c r="I73" s="600"/>
      <c r="J73" s="600"/>
      <c r="K73" s="600"/>
      <c r="L73" s="600"/>
      <c r="M73" s="600"/>
      <c r="N73" s="600"/>
      <c r="O73" s="600"/>
      <c r="P73" s="600"/>
      <c r="Q73" s="600"/>
      <c r="R73" s="600"/>
      <c r="S73" s="93" t="s">
        <v>491</v>
      </c>
      <c r="U73" s="89"/>
      <c r="V73" s="21"/>
      <c r="AQ73" s="89"/>
    </row>
    <row r="74" spans="1:43" ht="13.15" customHeight="1" x14ac:dyDescent="0.2">
      <c r="A74" s="19" t="s">
        <v>373</v>
      </c>
      <c r="B74" s="60"/>
      <c r="C74" s="610" t="s">
        <v>626</v>
      </c>
      <c r="D74" s="611"/>
      <c r="E74" s="611"/>
      <c r="F74" s="611"/>
      <c r="G74" s="611"/>
      <c r="H74" s="611"/>
      <c r="I74" s="611"/>
      <c r="J74" s="611"/>
      <c r="K74" s="611"/>
      <c r="L74" s="611"/>
      <c r="M74" s="611"/>
      <c r="N74" s="611"/>
      <c r="O74" s="611"/>
      <c r="P74" s="611"/>
      <c r="Q74" s="611"/>
      <c r="R74" s="612"/>
      <c r="S74" s="93" t="s">
        <v>492</v>
      </c>
      <c r="U74" s="89"/>
      <c r="V74" s="21"/>
      <c r="AQ74" s="89"/>
    </row>
    <row r="75" spans="1:43" ht="13.15" customHeight="1" x14ac:dyDescent="0.2">
      <c r="A75" s="19" t="s">
        <v>261</v>
      </c>
      <c r="B75" s="60"/>
      <c r="C75" s="610" t="s">
        <v>321</v>
      </c>
      <c r="D75" s="613"/>
      <c r="E75" s="613"/>
      <c r="F75" s="613"/>
      <c r="G75" s="613"/>
      <c r="H75" s="613"/>
      <c r="I75" s="613"/>
      <c r="J75" s="613"/>
      <c r="K75" s="613"/>
      <c r="L75" s="613"/>
      <c r="M75" s="613"/>
      <c r="N75" s="613"/>
      <c r="O75" s="613"/>
      <c r="P75" s="613"/>
      <c r="Q75" s="613"/>
      <c r="R75" s="614"/>
      <c r="S75" s="93" t="s">
        <v>493</v>
      </c>
      <c r="U75" s="89"/>
      <c r="V75" s="21"/>
      <c r="AQ75" s="89"/>
    </row>
    <row r="76" spans="1:43" ht="13.15" customHeight="1" x14ac:dyDescent="0.2">
      <c r="A76" s="19" t="s">
        <v>262</v>
      </c>
      <c r="B76" s="60"/>
      <c r="C76" s="583" t="s">
        <v>324</v>
      </c>
      <c r="D76" s="600"/>
      <c r="E76" s="600"/>
      <c r="F76" s="600"/>
      <c r="G76" s="600"/>
      <c r="H76" s="600"/>
      <c r="I76" s="600"/>
      <c r="J76" s="600"/>
      <c r="K76" s="600"/>
      <c r="L76" s="600"/>
      <c r="M76" s="600"/>
      <c r="N76" s="600"/>
      <c r="O76" s="600"/>
      <c r="P76" s="600"/>
      <c r="Q76" s="600"/>
      <c r="R76" s="600"/>
      <c r="S76" s="88"/>
      <c r="U76" s="89"/>
      <c r="V76" s="21"/>
      <c r="AQ76" s="89"/>
    </row>
    <row r="77" spans="1:43" ht="13.15" customHeight="1" x14ac:dyDescent="0.2">
      <c r="A77" s="19"/>
      <c r="B77" s="60"/>
      <c r="C77" s="583" t="s">
        <v>228</v>
      </c>
      <c r="D77" s="600"/>
      <c r="E77" s="600"/>
      <c r="F77" s="600"/>
      <c r="G77" s="600"/>
      <c r="H77" s="600"/>
      <c r="I77" s="600"/>
      <c r="J77" s="600"/>
      <c r="K77" s="600"/>
      <c r="L77" s="600"/>
      <c r="M77" s="600"/>
      <c r="N77" s="600"/>
      <c r="O77" s="600"/>
      <c r="P77" s="600"/>
      <c r="Q77" s="600"/>
      <c r="R77" s="600"/>
      <c r="S77" s="88"/>
      <c r="U77" s="89"/>
      <c r="V77" s="21"/>
      <c r="AQ77" s="89"/>
    </row>
    <row r="78" spans="1:43" ht="13.15" customHeight="1" thickBot="1" x14ac:dyDescent="0.25">
      <c r="A78" s="19"/>
      <c r="B78" s="60"/>
      <c r="C78" s="583" t="s">
        <v>270</v>
      </c>
      <c r="D78" s="602"/>
      <c r="E78" s="602"/>
      <c r="F78" s="602"/>
      <c r="G78" s="602"/>
      <c r="H78" s="602"/>
      <c r="I78" s="602"/>
      <c r="J78" s="602"/>
      <c r="K78" s="602"/>
      <c r="L78" s="602"/>
      <c r="M78" s="602"/>
      <c r="N78" s="602"/>
      <c r="O78" s="602"/>
      <c r="P78" s="602"/>
      <c r="Q78" s="602"/>
      <c r="R78" s="602"/>
      <c r="S78" s="326"/>
      <c r="T78" s="143"/>
      <c r="U78" s="144"/>
      <c r="V78" s="21"/>
      <c r="W78" s="143"/>
      <c r="X78" s="143"/>
      <c r="Y78" s="143"/>
      <c r="Z78" s="143"/>
      <c r="AA78" s="143"/>
      <c r="AB78" s="143"/>
      <c r="AC78" s="143"/>
      <c r="AD78" s="143"/>
      <c r="AE78" s="143"/>
      <c r="AF78" s="143"/>
      <c r="AG78" s="143"/>
      <c r="AH78" s="143"/>
      <c r="AI78" s="143"/>
      <c r="AJ78" s="143"/>
      <c r="AK78" s="143"/>
      <c r="AL78" s="143"/>
      <c r="AM78" s="143"/>
      <c r="AN78" s="143"/>
      <c r="AO78" s="143"/>
      <c r="AP78" s="143"/>
      <c r="AQ78" s="144"/>
    </row>
    <row r="79" spans="1:43" ht="13.15" customHeight="1" x14ac:dyDescent="0.2">
      <c r="A79" s="162" t="s">
        <v>209</v>
      </c>
      <c r="B79" s="464"/>
      <c r="C79" s="18" t="s">
        <v>208</v>
      </c>
      <c r="D79" s="16"/>
      <c r="E79" s="18" t="s">
        <v>207</v>
      </c>
      <c r="F79" s="18"/>
      <c r="G79" s="18" t="s">
        <v>206</v>
      </c>
      <c r="H79" s="17" t="e">
        <f>#REF!</f>
        <v>#REF!</v>
      </c>
      <c r="I79" s="16"/>
      <c r="J79" s="16"/>
      <c r="K79" s="16"/>
      <c r="L79" s="16"/>
      <c r="M79" s="16"/>
      <c r="N79" s="16"/>
      <c r="O79" s="16"/>
      <c r="P79" s="16"/>
      <c r="Q79" s="16"/>
      <c r="R79" s="16"/>
      <c r="S79" s="103"/>
      <c r="T79" s="103"/>
      <c r="U79" s="145"/>
      <c r="V79" s="162" t="s">
        <v>209</v>
      </c>
      <c r="W79" s="16"/>
      <c r="X79" s="163"/>
      <c r="Y79" s="18" t="s">
        <v>208</v>
      </c>
      <c r="Z79" s="16"/>
      <c r="AA79" s="18" t="s">
        <v>207</v>
      </c>
      <c r="AB79" s="18"/>
      <c r="AC79" s="18" t="s">
        <v>206</v>
      </c>
      <c r="AD79" s="17" t="e">
        <f>H79</f>
        <v>#REF!</v>
      </c>
      <c r="AE79" s="16"/>
      <c r="AF79" s="16"/>
      <c r="AG79" s="16"/>
      <c r="AH79" s="16"/>
      <c r="AI79" s="16"/>
      <c r="AJ79" s="16"/>
      <c r="AK79" s="16"/>
      <c r="AL79" s="16"/>
      <c r="AM79" s="16"/>
      <c r="AN79" s="103"/>
      <c r="AO79" s="103"/>
      <c r="AP79" s="103"/>
      <c r="AQ79" s="145"/>
    </row>
    <row r="80" spans="1:43" ht="13.15" customHeight="1" thickBot="1" x14ac:dyDescent="0.25">
      <c r="A80" s="159" t="e">
        <f>#REF!</f>
        <v>#REF!</v>
      </c>
      <c r="B80" s="175"/>
      <c r="C80" s="603" t="e">
        <f>#REF!</f>
        <v>#REF!</v>
      </c>
      <c r="D80" s="604"/>
      <c r="E80" s="605" t="e">
        <f>#REF!</f>
        <v>#REF!</v>
      </c>
      <c r="F80" s="606"/>
      <c r="G80" s="15"/>
      <c r="H80" s="14"/>
      <c r="I80" s="14"/>
      <c r="J80" s="14"/>
      <c r="K80" s="14"/>
      <c r="L80" s="14"/>
      <c r="M80" s="14"/>
      <c r="N80" s="14"/>
      <c r="O80" s="14"/>
      <c r="P80" s="14"/>
      <c r="Q80" s="14"/>
      <c r="R80" s="14"/>
      <c r="S80" s="143"/>
      <c r="T80" s="143"/>
      <c r="U80" s="144"/>
      <c r="V80" s="121"/>
      <c r="W80" s="14" t="e">
        <f>A80</f>
        <v>#REF!</v>
      </c>
      <c r="X80" s="325"/>
      <c r="Y80" s="603" t="e">
        <f>C80</f>
        <v>#REF!</v>
      </c>
      <c r="Z80" s="607"/>
      <c r="AA80" s="605" t="e">
        <f>E80</f>
        <v>#REF!</v>
      </c>
      <c r="AB80" s="608"/>
      <c r="AC80" s="15"/>
      <c r="AD80" s="14"/>
      <c r="AE80" s="14"/>
      <c r="AF80" s="14"/>
      <c r="AG80" s="14"/>
      <c r="AH80" s="14"/>
      <c r="AI80" s="14"/>
      <c r="AJ80" s="14"/>
      <c r="AK80" s="14"/>
      <c r="AL80" s="14"/>
      <c r="AM80" s="14"/>
      <c r="AN80" s="143"/>
      <c r="AO80" s="143"/>
      <c r="AP80" s="143"/>
      <c r="AQ80" s="144"/>
    </row>
  </sheetData>
  <mergeCells count="128">
    <mergeCell ref="AM55:AP56"/>
    <mergeCell ref="AE60:AH60"/>
    <mergeCell ref="AK60:AL60"/>
    <mergeCell ref="X61:AD61"/>
    <mergeCell ref="AE61:AH61"/>
    <mergeCell ref="AK61:AL61"/>
    <mergeCell ref="AE62:AH62"/>
    <mergeCell ref="AK62:AL62"/>
    <mergeCell ref="E60:J60"/>
    <mergeCell ref="Q60:R60"/>
    <mergeCell ref="K60:N60"/>
    <mergeCell ref="X57:AD57"/>
    <mergeCell ref="AE57:AH57"/>
    <mergeCell ref="AK57:AL57"/>
    <mergeCell ref="W55:W56"/>
    <mergeCell ref="X55:AD56"/>
    <mergeCell ref="AE55:AH56"/>
    <mergeCell ref="AI55:AI56"/>
    <mergeCell ref="AE59:AH59"/>
    <mergeCell ref="AK59:AL59"/>
    <mergeCell ref="E59:J59"/>
    <mergeCell ref="K59:N59"/>
    <mergeCell ref="Q59:R59"/>
    <mergeCell ref="E58:J58"/>
    <mergeCell ref="K55:N55"/>
    <mergeCell ref="X58:AD58"/>
    <mergeCell ref="AE58:AH58"/>
    <mergeCell ref="AK58:AL58"/>
    <mergeCell ref="Q51:R51"/>
    <mergeCell ref="AJ55:AJ56"/>
    <mergeCell ref="AK55:AL56"/>
    <mergeCell ref="K58:N58"/>
    <mergeCell ref="Q21:R21"/>
    <mergeCell ref="Q24:R24"/>
    <mergeCell ref="Q58:R58"/>
    <mergeCell ref="Q53:R53"/>
    <mergeCell ref="S55:U55"/>
    <mergeCell ref="Q55:R55"/>
    <mergeCell ref="Q45:R45"/>
    <mergeCell ref="Q42:R42"/>
    <mergeCell ref="Q39:R39"/>
    <mergeCell ref="Q37:R37"/>
    <mergeCell ref="Q36:R36"/>
    <mergeCell ref="Q35:R35"/>
    <mergeCell ref="Q38:R38"/>
    <mergeCell ref="S29:S38"/>
    <mergeCell ref="S39:U40"/>
    <mergeCell ref="Q26:R26"/>
    <mergeCell ref="AA80:AB80"/>
    <mergeCell ref="C78:R78"/>
    <mergeCell ref="C80:D80"/>
    <mergeCell ref="E80:F80"/>
    <mergeCell ref="Y80:Z80"/>
    <mergeCell ref="C71:R71"/>
    <mergeCell ref="C72:R72"/>
    <mergeCell ref="C73:R73"/>
    <mergeCell ref="C74:R74"/>
    <mergeCell ref="C76:R76"/>
    <mergeCell ref="C77:R77"/>
    <mergeCell ref="C75:R75"/>
    <mergeCell ref="A70:R70"/>
    <mergeCell ref="K53:N53"/>
    <mergeCell ref="X59:AD59"/>
    <mergeCell ref="X39:AP39"/>
    <mergeCell ref="A64:R69"/>
    <mergeCell ref="X60:AD60"/>
    <mergeCell ref="C7:D7"/>
    <mergeCell ref="Y7:Z7"/>
    <mergeCell ref="E34:J34"/>
    <mergeCell ref="K34:N34"/>
    <mergeCell ref="Q34:R34"/>
    <mergeCell ref="E33:J33"/>
    <mergeCell ref="K33:N33"/>
    <mergeCell ref="Q33:R33"/>
    <mergeCell ref="E30:J30"/>
    <mergeCell ref="K30:N30"/>
    <mergeCell ref="Q30:R30"/>
    <mergeCell ref="E25:J25"/>
    <mergeCell ref="K25:N25"/>
    <mergeCell ref="Q25:R25"/>
    <mergeCell ref="E20:J20"/>
    <mergeCell ref="K20:N20"/>
    <mergeCell ref="C17:D17"/>
    <mergeCell ref="K22:N22"/>
    <mergeCell ref="Q20:R20"/>
    <mergeCell ref="E21:J21"/>
    <mergeCell ref="K21:N21"/>
    <mergeCell ref="V19:V37"/>
    <mergeCell ref="E26:J26"/>
    <mergeCell ref="K39:N39"/>
    <mergeCell ref="K42:N42"/>
    <mergeCell ref="K45:N45"/>
    <mergeCell ref="K51:N51"/>
    <mergeCell ref="E37:J37"/>
    <mergeCell ref="K37:N37"/>
    <mergeCell ref="E35:J35"/>
    <mergeCell ref="K35:N35"/>
    <mergeCell ref="K26:N26"/>
    <mergeCell ref="E36:J36"/>
    <mergeCell ref="K36:N36"/>
    <mergeCell ref="E38:J38"/>
    <mergeCell ref="K38:N38"/>
    <mergeCell ref="K48:N48"/>
    <mergeCell ref="Q48:R48"/>
    <mergeCell ref="AF7:AH7"/>
    <mergeCell ref="E22:J22"/>
    <mergeCell ref="O6:P6"/>
    <mergeCell ref="AK6:AL6"/>
    <mergeCell ref="Q29:R29"/>
    <mergeCell ref="J7:L7"/>
    <mergeCell ref="E19:J19"/>
    <mergeCell ref="K19:N19"/>
    <mergeCell ref="Q19:R19"/>
    <mergeCell ref="E17:J18"/>
    <mergeCell ref="K17:N18"/>
    <mergeCell ref="O17:O18"/>
    <mergeCell ref="P17:P18"/>
    <mergeCell ref="Q17:R18"/>
    <mergeCell ref="C11:K11"/>
    <mergeCell ref="L10:U12"/>
    <mergeCell ref="L15:U16"/>
    <mergeCell ref="X18:AP18"/>
    <mergeCell ref="Q22:R22"/>
    <mergeCell ref="S17:U18"/>
    <mergeCell ref="E24:J24"/>
    <mergeCell ref="E29:J29"/>
    <mergeCell ref="K24:N24"/>
    <mergeCell ref="K29:N29"/>
  </mergeCells>
  <pageMargins left="0.70866141732283472" right="0.15748031496062992" top="0.51181102362204722" bottom="0.43307086614173229" header="0.27559055118110237" footer="0.27559055118110237"/>
  <pageSetup paperSize="9" scale="75" pageOrder="overThenDown" orientation="portrait" r:id="rId1"/>
  <headerFooter alignWithMargins="0">
    <oddHeader>&amp;LPIRS Vorlagen-Projekt&amp;C&amp;8Project: Template&amp;R&amp;G</oddHeader>
    <oddFooter xml:space="preserve">&amp;L&amp;8 &amp;F _&amp;A&amp;R&amp;8Page &amp;P+8 of [&amp;N+8] </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74F2F-FC2E-43B5-86DB-025D71D078D6}">
  <sheetPr codeName="Tabelle22"/>
  <dimension ref="A1:AQ80"/>
  <sheetViews>
    <sheetView showWhiteSpace="0" view="pageLayout" zoomScaleNormal="100" workbookViewId="0">
      <selection activeCell="AL2" sqref="AL2:AL4"/>
    </sheetView>
  </sheetViews>
  <sheetFormatPr defaultColWidth="0" defaultRowHeight="12.75" x14ac:dyDescent="0.2"/>
  <cols>
    <col min="1" max="1" width="14.28515625" style="13" customWidth="1"/>
    <col min="2" max="2" width="3.5703125" style="13" customWidth="1"/>
    <col min="3" max="21" width="5.7109375" style="13" customWidth="1"/>
    <col min="22" max="22" width="4.140625" style="13" customWidth="1"/>
    <col min="23" max="23" width="6.140625" style="13" customWidth="1"/>
    <col min="24" max="42" width="5.7109375" style="13" customWidth="1"/>
    <col min="43" max="59" width="6.140625" style="13" customWidth="1"/>
    <col min="60" max="16384" width="0" style="13" hidden="1"/>
  </cols>
  <sheetData>
    <row r="1" spans="1:43" ht="13.15" customHeight="1" x14ac:dyDescent="0.2">
      <c r="A1" s="73"/>
      <c r="B1" s="72"/>
      <c r="C1" s="72"/>
      <c r="D1" s="71"/>
      <c r="E1" s="16"/>
      <c r="F1" s="16"/>
      <c r="G1" s="16"/>
      <c r="H1" s="16"/>
      <c r="I1" s="16"/>
      <c r="J1" s="16"/>
      <c r="K1" s="114" t="s">
        <v>253</v>
      </c>
      <c r="L1" s="116"/>
      <c r="M1" s="70"/>
      <c r="N1" s="16"/>
      <c r="O1" s="16"/>
      <c r="P1" s="16" t="s">
        <v>717</v>
      </c>
      <c r="Q1" s="69"/>
      <c r="R1" s="68" t="s">
        <v>230</v>
      </c>
      <c r="S1" s="68"/>
      <c r="T1" s="67" t="s">
        <v>343</v>
      </c>
      <c r="U1" s="66"/>
      <c r="V1" s="162"/>
      <c r="W1" s="16"/>
      <c r="X1" s="72"/>
      <c r="Y1" s="72"/>
      <c r="Z1" s="71"/>
      <c r="AA1" s="16"/>
      <c r="AB1" s="16"/>
      <c r="AC1" s="16"/>
      <c r="AD1" s="16"/>
      <c r="AE1" s="16"/>
      <c r="AF1" s="231"/>
      <c r="AG1" s="230" t="s">
        <v>253</v>
      </c>
      <c r="AH1" s="116"/>
      <c r="AI1" s="70"/>
      <c r="AJ1" s="16"/>
      <c r="AK1" s="16"/>
      <c r="AL1" s="16" t="str">
        <f>P1</f>
        <v>PT11</v>
      </c>
      <c r="AM1" s="69"/>
      <c r="AN1" s="68" t="s">
        <v>230</v>
      </c>
      <c r="AO1" s="68"/>
      <c r="AP1" s="67" t="str">
        <f>T1</f>
        <v>3E0 (1.0345)</v>
      </c>
      <c r="AQ1" s="66"/>
    </row>
    <row r="2" spans="1:43" ht="13.15" customHeight="1" x14ac:dyDescent="0.2">
      <c r="A2" s="63" t="s">
        <v>276</v>
      </c>
      <c r="B2" s="61"/>
      <c r="C2" s="62" t="s">
        <v>289</v>
      </c>
      <c r="D2" s="61"/>
      <c r="E2" s="60"/>
      <c r="F2" s="60"/>
      <c r="G2" s="60"/>
      <c r="H2" s="60"/>
      <c r="I2" s="60"/>
      <c r="J2" s="59"/>
      <c r="K2" s="100" t="s">
        <v>232</v>
      </c>
      <c r="L2" s="74"/>
      <c r="M2" s="81"/>
      <c r="N2" s="65"/>
      <c r="O2" s="65"/>
      <c r="P2" s="523">
        <v>53.5</v>
      </c>
      <c r="Q2" s="58" t="s">
        <v>231</v>
      </c>
      <c r="R2" s="65" t="s">
        <v>252</v>
      </c>
      <c r="S2" s="65"/>
      <c r="T2" s="81" t="s">
        <v>333</v>
      </c>
      <c r="U2" s="64"/>
      <c r="V2" s="19" t="s">
        <v>276</v>
      </c>
      <c r="W2" s="60"/>
      <c r="X2" s="61"/>
      <c r="Y2" s="62" t="str">
        <f>C2</f>
        <v>Feedwater Tapping (T ≥ 100°C ÷ T ≤ 200°C)</v>
      </c>
      <c r="Z2" s="61"/>
      <c r="AA2" s="60"/>
      <c r="AB2" s="60"/>
      <c r="AC2" s="60"/>
      <c r="AD2" s="60"/>
      <c r="AE2" s="60"/>
      <c r="AF2" s="130"/>
      <c r="AG2" s="81" t="s">
        <v>232</v>
      </c>
      <c r="AH2" s="74"/>
      <c r="AI2" s="81"/>
      <c r="AJ2" s="65"/>
      <c r="AK2" s="65"/>
      <c r="AL2" s="523">
        <f>P2</f>
        <v>53.5</v>
      </c>
      <c r="AM2" s="58" t="s">
        <v>231</v>
      </c>
      <c r="AN2" s="65" t="s">
        <v>252</v>
      </c>
      <c r="AO2" s="65"/>
      <c r="AP2" s="115" t="str">
        <f>T2</f>
        <v>EN PN63</v>
      </c>
      <c r="AQ2" s="64"/>
    </row>
    <row r="3" spans="1:43" ht="13.15" customHeight="1" x14ac:dyDescent="0.2">
      <c r="A3" s="63"/>
      <c r="B3" s="61"/>
      <c r="C3" s="62"/>
      <c r="D3" s="61"/>
      <c r="E3" s="60"/>
      <c r="F3" s="60"/>
      <c r="G3" s="60"/>
      <c r="H3" s="60"/>
      <c r="I3" s="60"/>
      <c r="J3" s="59"/>
      <c r="K3" s="100" t="s">
        <v>233</v>
      </c>
      <c r="L3" s="75"/>
      <c r="M3" s="101"/>
      <c r="N3" s="65"/>
      <c r="O3" s="65"/>
      <c r="P3" s="523">
        <v>200</v>
      </c>
      <c r="Q3" s="58" t="s">
        <v>223</v>
      </c>
      <c r="R3" s="76" t="s">
        <v>229</v>
      </c>
      <c r="S3" s="77"/>
      <c r="T3" s="81" t="s">
        <v>227</v>
      </c>
      <c r="U3" s="57"/>
      <c r="V3" s="51"/>
      <c r="W3" s="80"/>
      <c r="X3" s="61"/>
      <c r="Y3" s="62"/>
      <c r="Z3" s="61"/>
      <c r="AA3" s="60"/>
      <c r="AB3" s="60"/>
      <c r="AC3" s="60"/>
      <c r="AD3" s="60"/>
      <c r="AE3" s="60"/>
      <c r="AF3" s="130"/>
      <c r="AG3" s="81" t="s">
        <v>233</v>
      </c>
      <c r="AH3" s="75"/>
      <c r="AI3" s="101"/>
      <c r="AJ3" s="65"/>
      <c r="AK3" s="65"/>
      <c r="AL3" s="523">
        <f>P3</f>
        <v>200</v>
      </c>
      <c r="AM3" s="58" t="s">
        <v>223</v>
      </c>
      <c r="AN3" s="76" t="s">
        <v>229</v>
      </c>
      <c r="AO3" s="77"/>
      <c r="AP3" s="81" t="str">
        <f>T3</f>
        <v>seamless</v>
      </c>
      <c r="AQ3" s="57"/>
    </row>
    <row r="4" spans="1:43" ht="13.15" customHeight="1" thickBot="1" x14ac:dyDescent="0.25">
      <c r="A4" s="56"/>
      <c r="B4" s="55"/>
      <c r="C4" s="55"/>
      <c r="D4" s="54"/>
      <c r="E4" s="53"/>
      <c r="F4" s="53"/>
      <c r="G4" s="53"/>
      <c r="H4" s="14"/>
      <c r="I4" s="14"/>
      <c r="J4" s="52"/>
      <c r="K4" s="60" t="s">
        <v>226</v>
      </c>
      <c r="L4" s="81"/>
      <c r="M4" s="102"/>
      <c r="N4" s="60"/>
      <c r="O4" s="60"/>
      <c r="P4" s="524">
        <v>86.9</v>
      </c>
      <c r="Q4" s="58" t="s">
        <v>235</v>
      </c>
      <c r="R4" s="82" t="s">
        <v>234</v>
      </c>
      <c r="S4" s="83"/>
      <c r="T4" s="113" t="s">
        <v>470</v>
      </c>
      <c r="U4" s="79"/>
      <c r="V4" s="119"/>
      <c r="W4" s="166"/>
      <c r="X4" s="55"/>
      <c r="Y4" s="55"/>
      <c r="Z4" s="54"/>
      <c r="AA4" s="53"/>
      <c r="AB4" s="53"/>
      <c r="AC4" s="53"/>
      <c r="AD4" s="14"/>
      <c r="AE4" s="14"/>
      <c r="AF4" s="232"/>
      <c r="AG4" s="60" t="s">
        <v>226</v>
      </c>
      <c r="AH4" s="81"/>
      <c r="AI4" s="102"/>
      <c r="AJ4" s="60"/>
      <c r="AK4" s="60"/>
      <c r="AL4" s="525">
        <f>P4</f>
        <v>86.9</v>
      </c>
      <c r="AM4" s="58" t="s">
        <v>235</v>
      </c>
      <c r="AN4" s="82" t="s">
        <v>234</v>
      </c>
      <c r="AO4" s="83"/>
      <c r="AP4" s="113" t="str">
        <f>T4</f>
        <v>ECGA</v>
      </c>
      <c r="AQ4" s="79"/>
    </row>
    <row r="5" spans="1:43" ht="13.15" customHeight="1" x14ac:dyDescent="0.2">
      <c r="A5" s="51" t="s">
        <v>225</v>
      </c>
      <c r="B5" s="80"/>
      <c r="C5" s="50" t="s">
        <v>224</v>
      </c>
      <c r="D5" s="49" t="s">
        <v>223</v>
      </c>
      <c r="E5" s="48"/>
      <c r="F5" s="47" t="s">
        <v>303</v>
      </c>
      <c r="G5" s="47">
        <v>100</v>
      </c>
      <c r="H5" s="47">
        <v>150</v>
      </c>
      <c r="I5" s="197">
        <v>200</v>
      </c>
      <c r="J5" s="48"/>
      <c r="K5" s="196"/>
      <c r="L5" s="196"/>
      <c r="M5" s="47"/>
      <c r="N5" s="47"/>
      <c r="O5" s="47"/>
      <c r="P5" s="47"/>
      <c r="Q5" s="47"/>
      <c r="R5" s="104"/>
      <c r="S5" s="107"/>
      <c r="T5" s="107"/>
      <c r="U5" s="105"/>
      <c r="V5" s="51" t="s">
        <v>225</v>
      </c>
      <c r="W5" s="80"/>
      <c r="X5" s="80"/>
      <c r="Y5" s="50" t="s">
        <v>224</v>
      </c>
      <c r="Z5" s="49" t="s">
        <v>223</v>
      </c>
      <c r="AA5" s="48"/>
      <c r="AB5" s="47" t="s">
        <v>303</v>
      </c>
      <c r="AC5" s="47">
        <v>100</v>
      </c>
      <c r="AD5" s="47">
        <v>150</v>
      </c>
      <c r="AE5" s="197">
        <v>200</v>
      </c>
      <c r="AF5" s="48"/>
      <c r="AG5" s="196"/>
      <c r="AH5" s="196"/>
      <c r="AI5" s="47"/>
      <c r="AJ5" s="47"/>
      <c r="AK5" s="47"/>
      <c r="AL5" s="47"/>
      <c r="AM5" s="47"/>
      <c r="AN5" s="104"/>
      <c r="AO5" s="107"/>
      <c r="AP5" s="107"/>
      <c r="AQ5" s="105"/>
    </row>
    <row r="6" spans="1:43" ht="20.25" customHeight="1" x14ac:dyDescent="0.2">
      <c r="A6" s="51"/>
      <c r="B6" s="80"/>
      <c r="C6" s="185" t="s">
        <v>285</v>
      </c>
      <c r="D6" s="186" t="s">
        <v>235</v>
      </c>
      <c r="E6" s="187" t="s">
        <v>502</v>
      </c>
      <c r="F6" s="218">
        <v>63</v>
      </c>
      <c r="G6" s="381" t="s">
        <v>602</v>
      </c>
      <c r="H6" s="398" t="s">
        <v>603</v>
      </c>
      <c r="I6" s="397" t="s">
        <v>604</v>
      </c>
      <c r="J6" s="686" t="s">
        <v>587</v>
      </c>
      <c r="K6" s="687"/>
      <c r="L6" s="199"/>
      <c r="M6" s="188"/>
      <c r="N6" s="188"/>
      <c r="O6" s="188"/>
      <c r="P6" s="188"/>
      <c r="Q6" s="188"/>
      <c r="R6" s="189"/>
      <c r="S6" s="190"/>
      <c r="T6" s="190"/>
      <c r="U6" s="191"/>
      <c r="V6" s="21"/>
      <c r="X6" s="80"/>
      <c r="Y6" s="185" t="s">
        <v>285</v>
      </c>
      <c r="Z6" s="186" t="s">
        <v>235</v>
      </c>
      <c r="AA6" s="187" t="s">
        <v>502</v>
      </c>
      <c r="AB6" s="218">
        <v>63</v>
      </c>
      <c r="AC6" s="381" t="s">
        <v>602</v>
      </c>
      <c r="AD6" s="398" t="s">
        <v>603</v>
      </c>
      <c r="AE6" s="397" t="s">
        <v>604</v>
      </c>
      <c r="AF6" s="686" t="s">
        <v>555</v>
      </c>
      <c r="AG6" s="687"/>
      <c r="AH6" s="199"/>
      <c r="AI6" s="188"/>
      <c r="AJ6" s="188"/>
      <c r="AK6" s="188"/>
      <c r="AL6" s="188"/>
      <c r="AM6" s="188"/>
      <c r="AN6" s="189"/>
      <c r="AO6" s="190"/>
      <c r="AP6" s="190"/>
      <c r="AQ6" s="191"/>
    </row>
    <row r="7" spans="1:43" ht="12.75" customHeight="1" thickBot="1" x14ac:dyDescent="0.25">
      <c r="A7" s="46"/>
      <c r="B7" s="120"/>
      <c r="C7" s="671" t="s">
        <v>284</v>
      </c>
      <c r="D7" s="672"/>
      <c r="E7" s="45"/>
      <c r="F7" s="836" t="s">
        <v>286</v>
      </c>
      <c r="G7" s="674"/>
      <c r="H7" s="674"/>
      <c r="I7" s="837"/>
      <c r="J7" s="257"/>
      <c r="K7" s="213"/>
      <c r="L7" s="201"/>
      <c r="M7" s="201"/>
      <c r="N7" s="201"/>
      <c r="O7" s="201"/>
      <c r="P7" s="201"/>
      <c r="Q7" s="201"/>
      <c r="R7" s="201"/>
      <c r="S7" s="202"/>
      <c r="T7" s="202"/>
      <c r="U7" s="106"/>
      <c r="V7" s="121"/>
      <c r="W7" s="143"/>
      <c r="X7" s="193"/>
      <c r="Y7" s="671" t="s">
        <v>284</v>
      </c>
      <c r="Z7" s="672"/>
      <c r="AA7" s="45"/>
      <c r="AB7" s="836" t="s">
        <v>286</v>
      </c>
      <c r="AC7" s="674"/>
      <c r="AD7" s="674"/>
      <c r="AE7" s="837"/>
      <c r="AF7" s="257"/>
      <c r="AG7" s="213"/>
      <c r="AH7" s="201"/>
      <c r="AI7" s="201"/>
      <c r="AJ7" s="201"/>
      <c r="AK7" s="201"/>
      <c r="AL7" s="201"/>
      <c r="AM7" s="201"/>
      <c r="AN7" s="201"/>
      <c r="AO7" s="202"/>
      <c r="AP7" s="202"/>
      <c r="AQ7" s="106"/>
    </row>
    <row r="8" spans="1:43" ht="13.15" customHeight="1" x14ac:dyDescent="0.2">
      <c r="A8" s="413" t="s">
        <v>633</v>
      </c>
      <c r="B8" s="158" t="s">
        <v>220</v>
      </c>
      <c r="C8" s="200">
        <v>15</v>
      </c>
      <c r="D8" s="38" t="s">
        <v>648</v>
      </c>
      <c r="E8" s="38">
        <v>25</v>
      </c>
      <c r="F8" s="38" t="s">
        <v>649</v>
      </c>
      <c r="G8" s="38">
        <v>40</v>
      </c>
      <c r="H8" s="38">
        <v>50</v>
      </c>
      <c r="I8" s="38" t="s">
        <v>299</v>
      </c>
      <c r="J8" s="38">
        <v>80</v>
      </c>
      <c r="K8" s="38">
        <v>100</v>
      </c>
      <c r="L8" s="38" t="s">
        <v>300</v>
      </c>
      <c r="M8" s="38">
        <v>150</v>
      </c>
      <c r="N8" s="38">
        <v>200</v>
      </c>
      <c r="O8" s="38">
        <v>250</v>
      </c>
      <c r="P8" s="38">
        <v>300</v>
      </c>
      <c r="Q8" s="38">
        <v>350</v>
      </c>
      <c r="R8" s="78">
        <v>400</v>
      </c>
      <c r="S8" s="38">
        <v>450</v>
      </c>
      <c r="T8" s="38">
        <v>500</v>
      </c>
      <c r="U8" s="37">
        <v>600</v>
      </c>
      <c r="V8" s="149"/>
      <c r="W8" s="167"/>
      <c r="X8" s="103"/>
      <c r="Y8" s="103"/>
      <c r="Z8" s="103"/>
      <c r="AA8" s="103"/>
      <c r="AB8" s="103"/>
      <c r="AC8" s="103"/>
      <c r="AD8" s="103"/>
      <c r="AE8" s="103"/>
      <c r="AF8" s="103"/>
      <c r="AG8" s="103"/>
      <c r="AH8" s="103"/>
      <c r="AI8" s="103"/>
      <c r="AJ8" s="103"/>
      <c r="AK8" s="103"/>
      <c r="AL8" s="103"/>
      <c r="AM8" s="103"/>
      <c r="AN8" s="103"/>
      <c r="AO8" s="103"/>
      <c r="AP8" s="103"/>
      <c r="AQ8" s="89"/>
    </row>
    <row r="9" spans="1:43" ht="13.15" customHeight="1" x14ac:dyDescent="0.2">
      <c r="A9" s="416" t="s">
        <v>634</v>
      </c>
      <c r="B9" s="293" t="s">
        <v>222</v>
      </c>
      <c r="C9" s="35">
        <v>21.3</v>
      </c>
      <c r="D9" s="42">
        <v>26.9</v>
      </c>
      <c r="E9" s="34">
        <v>33.700000000000003</v>
      </c>
      <c r="F9" s="34">
        <v>42.4</v>
      </c>
      <c r="G9" s="34">
        <v>48.3</v>
      </c>
      <c r="H9" s="34">
        <v>60.3</v>
      </c>
      <c r="I9" s="34">
        <v>76.099999999999994</v>
      </c>
      <c r="J9" s="34">
        <v>88.9</v>
      </c>
      <c r="K9" s="34">
        <v>114.3</v>
      </c>
      <c r="L9" s="34">
        <v>139.69999999999999</v>
      </c>
      <c r="M9" s="34">
        <v>168.3</v>
      </c>
      <c r="N9" s="34">
        <v>219.1</v>
      </c>
      <c r="O9" s="34">
        <v>273</v>
      </c>
      <c r="P9" s="34">
        <v>323.89999999999998</v>
      </c>
      <c r="Q9" s="34">
        <v>355.6</v>
      </c>
      <c r="R9" s="34">
        <v>406.4</v>
      </c>
      <c r="S9" s="34">
        <v>457</v>
      </c>
      <c r="T9" s="34">
        <v>508</v>
      </c>
      <c r="U9" s="41">
        <v>610</v>
      </c>
      <c r="V9" s="152"/>
      <c r="W9" s="168"/>
      <c r="AQ9" s="89"/>
    </row>
    <row r="10" spans="1:43" ht="13.15" customHeight="1" x14ac:dyDescent="0.2">
      <c r="A10" s="417" t="s">
        <v>635</v>
      </c>
      <c r="B10" s="294" t="s">
        <v>222</v>
      </c>
      <c r="C10" s="477">
        <v>2.6</v>
      </c>
      <c r="D10" s="33"/>
      <c r="E10" s="239">
        <v>2.6</v>
      </c>
      <c r="F10" s="239"/>
      <c r="G10" s="239">
        <v>2.6</v>
      </c>
      <c r="H10" s="239">
        <v>2.9</v>
      </c>
      <c r="I10" s="239">
        <v>2.9</v>
      </c>
      <c r="J10" s="239">
        <v>3.2</v>
      </c>
      <c r="K10" s="239">
        <v>4.5</v>
      </c>
      <c r="L10" s="239">
        <v>5.6</v>
      </c>
      <c r="M10" s="239">
        <v>6.3</v>
      </c>
      <c r="N10" s="239">
        <v>8</v>
      </c>
      <c r="O10" s="839" t="s">
        <v>268</v>
      </c>
      <c r="P10" s="840"/>
      <c r="Q10" s="840"/>
      <c r="R10" s="840"/>
      <c r="S10" s="840"/>
      <c r="T10" s="840"/>
      <c r="U10" s="841"/>
      <c r="V10" s="152"/>
      <c r="W10" s="169"/>
      <c r="AQ10" s="89"/>
    </row>
    <row r="11" spans="1:43" ht="13.15" customHeight="1" x14ac:dyDescent="0.2">
      <c r="A11" s="84" t="s">
        <v>636</v>
      </c>
      <c r="B11" s="295" t="s">
        <v>236</v>
      </c>
      <c r="C11" s="838" t="s">
        <v>302</v>
      </c>
      <c r="D11" s="737"/>
      <c r="E11" s="737"/>
      <c r="F11" s="737"/>
      <c r="G11" s="737"/>
      <c r="H11" s="737"/>
      <c r="I11" s="737"/>
      <c r="J11" s="737"/>
      <c r="K11" s="737"/>
      <c r="L11" s="737"/>
      <c r="M11" s="737"/>
      <c r="N11" s="808"/>
      <c r="O11" s="628"/>
      <c r="P11" s="586"/>
      <c r="Q11" s="586"/>
      <c r="R11" s="586"/>
      <c r="S11" s="586"/>
      <c r="T11" s="586"/>
      <c r="U11" s="842"/>
      <c r="V11" s="152"/>
      <c r="W11" s="161"/>
      <c r="AQ11" s="89"/>
    </row>
    <row r="12" spans="1:43" ht="13.15" customHeight="1" thickBot="1" x14ac:dyDescent="0.25">
      <c r="A12" s="419" t="s">
        <v>637</v>
      </c>
      <c r="B12" s="296" t="s">
        <v>222</v>
      </c>
      <c r="C12" s="40">
        <f>C9-2*C10</f>
        <v>16.100000000000001</v>
      </c>
      <c r="D12" s="32"/>
      <c r="E12" s="39">
        <f>E9-2*E10</f>
        <v>28.500000000000004</v>
      </c>
      <c r="F12" s="39"/>
      <c r="G12" s="39">
        <f t="shared" ref="G12:N12" si="0">G9-2*G10</f>
        <v>43.099999999999994</v>
      </c>
      <c r="H12" s="39">
        <f t="shared" si="0"/>
        <v>54.5</v>
      </c>
      <c r="I12" s="39">
        <f t="shared" si="0"/>
        <v>70.3</v>
      </c>
      <c r="J12" s="39">
        <f t="shared" si="0"/>
        <v>82.5</v>
      </c>
      <c r="K12" s="39">
        <f t="shared" si="0"/>
        <v>105.3</v>
      </c>
      <c r="L12" s="39">
        <f t="shared" si="0"/>
        <v>128.5</v>
      </c>
      <c r="M12" s="39">
        <f t="shared" si="0"/>
        <v>155.70000000000002</v>
      </c>
      <c r="N12" s="39">
        <f t="shared" si="0"/>
        <v>203.1</v>
      </c>
      <c r="O12" s="843"/>
      <c r="P12" s="844"/>
      <c r="Q12" s="844"/>
      <c r="R12" s="844"/>
      <c r="S12" s="844"/>
      <c r="T12" s="844"/>
      <c r="U12" s="845"/>
      <c r="V12" s="152"/>
      <c r="W12" s="170"/>
      <c r="AQ12" s="89"/>
    </row>
    <row r="13" spans="1:43" ht="13.15" customHeight="1" x14ac:dyDescent="0.2">
      <c r="A13" s="413" t="s">
        <v>638</v>
      </c>
      <c r="B13" s="158" t="s">
        <v>220</v>
      </c>
      <c r="C13" s="200">
        <v>15</v>
      </c>
      <c r="D13" s="38" t="s">
        <v>648</v>
      </c>
      <c r="E13" s="38">
        <v>25</v>
      </c>
      <c r="F13" s="38" t="s">
        <v>649</v>
      </c>
      <c r="G13" s="43">
        <v>40</v>
      </c>
      <c r="H13" s="43">
        <v>50</v>
      </c>
      <c r="I13" s="38" t="s">
        <v>299</v>
      </c>
      <c r="J13" s="43">
        <v>80</v>
      </c>
      <c r="K13" s="43">
        <v>100</v>
      </c>
      <c r="L13" s="43" t="s">
        <v>300</v>
      </c>
      <c r="M13" s="43">
        <v>150</v>
      </c>
      <c r="N13" s="43">
        <v>200</v>
      </c>
      <c r="O13" s="43">
        <v>250</v>
      </c>
      <c r="P13" s="43">
        <v>300</v>
      </c>
      <c r="Q13" s="43">
        <v>350</v>
      </c>
      <c r="R13" s="78">
        <v>400</v>
      </c>
      <c r="S13" s="38">
        <v>450</v>
      </c>
      <c r="T13" s="38">
        <v>500</v>
      </c>
      <c r="U13" s="37">
        <v>600</v>
      </c>
      <c r="V13" s="154"/>
      <c r="W13" s="171"/>
      <c r="AQ13" s="89"/>
    </row>
    <row r="14" spans="1:43" ht="13.15" customHeight="1" x14ac:dyDescent="0.2">
      <c r="A14" s="416" t="s">
        <v>639</v>
      </c>
      <c r="B14" s="297" t="s">
        <v>222</v>
      </c>
      <c r="C14" s="35">
        <v>21.3</v>
      </c>
      <c r="D14" s="34">
        <v>26.9</v>
      </c>
      <c r="E14" s="34">
        <v>33.700000000000003</v>
      </c>
      <c r="F14" s="34">
        <v>42.4</v>
      </c>
      <c r="G14" s="34">
        <v>48.3</v>
      </c>
      <c r="H14" s="34">
        <v>60.3</v>
      </c>
      <c r="I14" s="34">
        <v>76.099999999999994</v>
      </c>
      <c r="J14" s="34">
        <v>88.9</v>
      </c>
      <c r="K14" s="34">
        <v>114.3</v>
      </c>
      <c r="L14" s="34">
        <v>139.69999999999999</v>
      </c>
      <c r="M14" s="34">
        <v>168.3</v>
      </c>
      <c r="N14" s="34">
        <v>219.1</v>
      </c>
      <c r="O14" s="34">
        <v>273</v>
      </c>
      <c r="P14" s="34">
        <v>323.89999999999998</v>
      </c>
      <c r="Q14" s="34">
        <v>355.6</v>
      </c>
      <c r="R14" s="34">
        <v>406.4</v>
      </c>
      <c r="S14" s="34">
        <v>457</v>
      </c>
      <c r="T14" s="34">
        <v>508</v>
      </c>
      <c r="U14" s="41">
        <v>610</v>
      </c>
      <c r="V14" s="152"/>
      <c r="W14" s="168"/>
      <c r="AQ14" s="89"/>
    </row>
    <row r="15" spans="1:43" ht="13.15" customHeight="1" x14ac:dyDescent="0.2">
      <c r="A15" s="417" t="s">
        <v>640</v>
      </c>
      <c r="B15" s="294" t="s">
        <v>222</v>
      </c>
      <c r="C15" s="238">
        <v>2.6</v>
      </c>
      <c r="D15" s="239">
        <v>2.6</v>
      </c>
      <c r="E15" s="239">
        <v>2.6</v>
      </c>
      <c r="F15" s="239">
        <v>2.6</v>
      </c>
      <c r="G15" s="239">
        <v>2.6</v>
      </c>
      <c r="H15" s="239">
        <v>2.9</v>
      </c>
      <c r="I15" s="239">
        <v>2.9</v>
      </c>
      <c r="J15" s="239">
        <v>3.2</v>
      </c>
      <c r="K15" s="239">
        <v>4.5</v>
      </c>
      <c r="L15" s="239">
        <v>6.3</v>
      </c>
      <c r="M15" s="239">
        <v>7.1</v>
      </c>
      <c r="N15" s="239">
        <v>8</v>
      </c>
      <c r="O15" s="846" t="s">
        <v>268</v>
      </c>
      <c r="P15" s="547"/>
      <c r="Q15" s="547"/>
      <c r="R15" s="547"/>
      <c r="S15" s="547"/>
      <c r="T15" s="547"/>
      <c r="U15" s="823"/>
      <c r="V15" s="152"/>
      <c r="W15" s="169"/>
      <c r="AQ15" s="89"/>
    </row>
    <row r="16" spans="1:43" ht="13.15" customHeight="1" thickBot="1" x14ac:dyDescent="0.25">
      <c r="A16" s="419" t="s">
        <v>641</v>
      </c>
      <c r="B16" s="296" t="s">
        <v>222</v>
      </c>
      <c r="C16" s="316">
        <v>3</v>
      </c>
      <c r="D16" s="469">
        <v>3</v>
      </c>
      <c r="E16" s="317">
        <v>2</v>
      </c>
      <c r="F16" s="317">
        <v>2</v>
      </c>
      <c r="G16" s="317" t="s">
        <v>543</v>
      </c>
      <c r="H16" s="317">
        <v>2</v>
      </c>
      <c r="I16" s="317">
        <v>2</v>
      </c>
      <c r="J16" s="317">
        <v>2</v>
      </c>
      <c r="K16" s="317" t="s">
        <v>462</v>
      </c>
      <c r="L16" s="317">
        <v>4</v>
      </c>
      <c r="M16" s="317">
        <v>4</v>
      </c>
      <c r="N16" s="317">
        <v>4</v>
      </c>
      <c r="O16" s="847"/>
      <c r="P16" s="848"/>
      <c r="Q16" s="848"/>
      <c r="R16" s="848"/>
      <c r="S16" s="848"/>
      <c r="T16" s="848"/>
      <c r="U16" s="849"/>
      <c r="V16" s="21"/>
      <c r="AO16"/>
      <c r="AQ16" s="89"/>
    </row>
    <row r="17" spans="1:43" ht="13.15" customHeight="1" x14ac:dyDescent="0.2">
      <c r="A17" s="31" t="s">
        <v>221</v>
      </c>
      <c r="B17" s="422"/>
      <c r="C17" s="631" t="s">
        <v>220</v>
      </c>
      <c r="D17" s="632"/>
      <c r="E17" s="633" t="s">
        <v>197</v>
      </c>
      <c r="F17" s="634"/>
      <c r="G17" s="634"/>
      <c r="H17" s="634"/>
      <c r="I17" s="634"/>
      <c r="J17" s="634"/>
      <c r="K17" s="635" t="s">
        <v>241</v>
      </c>
      <c r="L17" s="634"/>
      <c r="M17" s="634"/>
      <c r="N17" s="636"/>
      <c r="O17" s="656" t="s">
        <v>243</v>
      </c>
      <c r="P17" s="656" t="s">
        <v>242</v>
      </c>
      <c r="Q17" s="637" t="s">
        <v>244</v>
      </c>
      <c r="R17" s="638"/>
      <c r="S17" s="633" t="s">
        <v>245</v>
      </c>
      <c r="T17" s="639"/>
      <c r="U17" s="640"/>
      <c r="V17" s="21"/>
      <c r="AO17"/>
      <c r="AQ17" s="89"/>
    </row>
    <row r="18" spans="1:43" ht="13.15" customHeight="1" x14ac:dyDescent="0.2">
      <c r="A18" s="20"/>
      <c r="B18" s="424"/>
      <c r="C18" s="30" t="s">
        <v>219</v>
      </c>
      <c r="D18" s="30" t="s">
        <v>218</v>
      </c>
      <c r="E18" s="554"/>
      <c r="F18" s="555"/>
      <c r="G18" s="555"/>
      <c r="H18" s="555"/>
      <c r="I18" s="555"/>
      <c r="J18" s="555"/>
      <c r="K18" s="558"/>
      <c r="L18" s="555"/>
      <c r="M18" s="555"/>
      <c r="N18" s="556"/>
      <c r="O18" s="555"/>
      <c r="P18" s="555"/>
      <c r="Q18" s="555"/>
      <c r="R18" s="555"/>
      <c r="S18" s="641"/>
      <c r="T18" s="642"/>
      <c r="U18" s="643"/>
      <c r="V18" s="172"/>
      <c r="W18" s="168"/>
      <c r="X18" s="659" t="s">
        <v>288</v>
      </c>
      <c r="Y18" s="670"/>
      <c r="Z18" s="670"/>
      <c r="AA18" s="670"/>
      <c r="AB18" s="670"/>
      <c r="AC18" s="670"/>
      <c r="AD18" s="670"/>
      <c r="AE18" s="670"/>
      <c r="AF18" s="670"/>
      <c r="AG18" s="670"/>
      <c r="AH18" s="670"/>
      <c r="AI18" s="670"/>
      <c r="AJ18" s="670"/>
      <c r="AK18" s="670"/>
      <c r="AL18" s="670"/>
      <c r="AM18" s="670"/>
      <c r="AN18" s="670"/>
      <c r="AO18" s="660"/>
      <c r="AP18" s="660"/>
      <c r="AQ18" s="89"/>
    </row>
    <row r="19" spans="1:43" ht="13.15" customHeight="1" x14ac:dyDescent="0.2">
      <c r="A19" s="19" t="s">
        <v>217</v>
      </c>
      <c r="B19" s="60"/>
      <c r="C19" s="24">
        <v>15</v>
      </c>
      <c r="D19" s="24">
        <v>50</v>
      </c>
      <c r="E19" s="561" t="s">
        <v>497</v>
      </c>
      <c r="F19" s="562"/>
      <c r="G19" s="562"/>
      <c r="H19" s="562"/>
      <c r="I19" s="562"/>
      <c r="J19" s="563"/>
      <c r="K19" s="564" t="s">
        <v>322</v>
      </c>
      <c r="L19" s="562"/>
      <c r="M19" s="562"/>
      <c r="N19" s="563"/>
      <c r="O19" s="97" t="s">
        <v>236</v>
      </c>
      <c r="P19" s="97" t="s">
        <v>485</v>
      </c>
      <c r="Q19" s="651" t="s">
        <v>304</v>
      </c>
      <c r="R19" s="626"/>
      <c r="S19" s="88"/>
      <c r="U19" s="89"/>
      <c r="V19" s="657" t="s">
        <v>274</v>
      </c>
      <c r="W19" s="1">
        <v>15</v>
      </c>
      <c r="X19" s="139" t="s">
        <v>406</v>
      </c>
      <c r="Y19" s="137"/>
      <c r="Z19" s="137"/>
      <c r="AA19" s="137"/>
      <c r="AB19" s="137"/>
      <c r="AC19" s="137"/>
      <c r="AD19" s="137"/>
      <c r="AE19" s="137"/>
      <c r="AF19" s="137"/>
      <c r="AG19" s="137"/>
      <c r="AH19" s="137"/>
      <c r="AI19" s="137"/>
      <c r="AJ19" s="137"/>
      <c r="AK19" s="137"/>
      <c r="AL19" s="138"/>
      <c r="AM19" s="138"/>
      <c r="AQ19" s="89"/>
    </row>
    <row r="20" spans="1:43" ht="13.15" customHeight="1" x14ac:dyDescent="0.2">
      <c r="A20" s="19"/>
      <c r="B20" s="60"/>
      <c r="C20" s="24">
        <v>65</v>
      </c>
      <c r="D20" s="24">
        <v>200</v>
      </c>
      <c r="E20" s="583" t="s">
        <v>496</v>
      </c>
      <c r="F20" s="549"/>
      <c r="G20" s="549"/>
      <c r="H20" s="549"/>
      <c r="I20" s="549"/>
      <c r="J20" s="550"/>
      <c r="K20" s="584" t="s">
        <v>322</v>
      </c>
      <c r="L20" s="549"/>
      <c r="M20" s="549"/>
      <c r="N20" s="550"/>
      <c r="O20" s="98" t="s">
        <v>236</v>
      </c>
      <c r="P20" s="98" t="s">
        <v>484</v>
      </c>
      <c r="Q20" s="652" t="s">
        <v>304</v>
      </c>
      <c r="R20" s="586"/>
      <c r="S20" s="88"/>
      <c r="U20" s="89"/>
      <c r="V20" s="824"/>
      <c r="W20" s="430" t="s">
        <v>642</v>
      </c>
      <c r="X20" s="139"/>
      <c r="Y20" s="139"/>
      <c r="Z20" s="501"/>
      <c r="AA20" s="137"/>
      <c r="AB20" s="137"/>
      <c r="AC20" s="137"/>
      <c r="AD20" s="137"/>
      <c r="AE20" s="137"/>
      <c r="AF20" s="137"/>
      <c r="AG20" s="137"/>
      <c r="AH20" s="137"/>
      <c r="AI20" s="137"/>
      <c r="AJ20" s="137"/>
      <c r="AK20" s="137"/>
      <c r="AL20" s="137"/>
      <c r="AM20" s="138"/>
      <c r="AN20" s="138"/>
      <c r="AO20"/>
      <c r="AQ20" s="89"/>
    </row>
    <row r="21" spans="1:43" ht="13.15" customHeight="1" x14ac:dyDescent="0.2">
      <c r="A21" s="19"/>
      <c r="B21" s="60"/>
      <c r="C21" s="24"/>
      <c r="D21" s="24"/>
      <c r="E21" s="583"/>
      <c r="F21" s="549"/>
      <c r="G21" s="549"/>
      <c r="H21" s="549"/>
      <c r="I21" s="549"/>
      <c r="J21" s="550"/>
      <c r="K21" s="584"/>
      <c r="L21" s="549"/>
      <c r="M21" s="549"/>
      <c r="N21" s="550"/>
      <c r="O21" s="98"/>
      <c r="P21" s="98"/>
      <c r="Q21" s="652"/>
      <c r="R21" s="586"/>
      <c r="S21" s="88"/>
      <c r="U21" s="89"/>
      <c r="V21" s="824"/>
      <c r="W21" s="118">
        <v>25</v>
      </c>
      <c r="X21" s="139" t="s">
        <v>396</v>
      </c>
      <c r="Y21" s="139"/>
      <c r="Z21" s="139" t="s">
        <v>407</v>
      </c>
      <c r="AA21" s="147"/>
      <c r="AB21" s="137"/>
      <c r="AC21" s="137"/>
      <c r="AD21" s="137"/>
      <c r="AE21" s="137"/>
      <c r="AF21" s="137"/>
      <c r="AG21" s="137"/>
      <c r="AH21" s="137"/>
      <c r="AI21" s="137"/>
      <c r="AJ21" s="137"/>
      <c r="AK21" s="137"/>
      <c r="AL21" s="137"/>
      <c r="AM21" s="138"/>
      <c r="AN21" s="138"/>
      <c r="AO21"/>
      <c r="AQ21" s="89"/>
    </row>
    <row r="22" spans="1:43" ht="13.15" customHeight="1" x14ac:dyDescent="0.2">
      <c r="A22" s="19"/>
      <c r="B22" s="60"/>
      <c r="C22" s="24"/>
      <c r="D22" s="24"/>
      <c r="E22" s="583"/>
      <c r="F22" s="549"/>
      <c r="G22" s="549"/>
      <c r="H22" s="549"/>
      <c r="I22" s="549"/>
      <c r="J22" s="550"/>
      <c r="K22" s="584"/>
      <c r="L22" s="549"/>
      <c r="M22" s="549"/>
      <c r="N22" s="550"/>
      <c r="O22" s="98"/>
      <c r="P22" s="98"/>
      <c r="Q22" s="652"/>
      <c r="R22" s="586"/>
      <c r="S22" s="88"/>
      <c r="U22" s="89"/>
      <c r="V22" s="824"/>
      <c r="W22" s="430" t="s">
        <v>643</v>
      </c>
      <c r="X22" s="139"/>
      <c r="Y22" s="139"/>
      <c r="Z22" s="139"/>
      <c r="AA22" s="139"/>
      <c r="AB22" s="501"/>
      <c r="AC22" s="137"/>
      <c r="AD22" s="137"/>
      <c r="AE22" s="137"/>
      <c r="AF22" s="137"/>
      <c r="AG22" s="137"/>
      <c r="AH22" s="137"/>
      <c r="AI22" s="137"/>
      <c r="AJ22" s="137"/>
      <c r="AK22" s="137"/>
      <c r="AL22" s="137"/>
      <c r="AM22" s="137"/>
      <c r="AN22" s="138"/>
      <c r="AO22" s="138"/>
      <c r="AP22"/>
      <c r="AQ22" s="89"/>
    </row>
    <row r="23" spans="1:43" ht="13.15" customHeight="1" x14ac:dyDescent="0.2">
      <c r="A23" s="19"/>
      <c r="B23" s="60"/>
      <c r="C23" s="24"/>
      <c r="D23" s="24"/>
      <c r="E23" s="155"/>
      <c r="F23" s="160"/>
      <c r="G23" s="160"/>
      <c r="H23" s="160"/>
      <c r="I23" s="160"/>
      <c r="J23" s="181"/>
      <c r="K23" s="182"/>
      <c r="L23" s="160"/>
      <c r="M23" s="160"/>
      <c r="N23" s="181"/>
      <c r="O23" s="98"/>
      <c r="P23" s="98"/>
      <c r="Q23" s="183"/>
      <c r="R23" s="161"/>
      <c r="S23" s="88"/>
      <c r="U23" s="89"/>
      <c r="V23" s="824"/>
      <c r="W23" s="118">
        <v>40</v>
      </c>
      <c r="X23" s="139" t="s">
        <v>396</v>
      </c>
      <c r="Y23" s="139"/>
      <c r="Z23" s="139" t="s">
        <v>407</v>
      </c>
      <c r="AA23" s="139"/>
      <c r="AB23" s="139" t="s">
        <v>407</v>
      </c>
      <c r="AC23" s="137"/>
      <c r="AD23" s="137"/>
      <c r="AE23" s="137"/>
      <c r="AF23" s="137"/>
      <c r="AG23" s="137"/>
      <c r="AH23" s="137"/>
      <c r="AI23" s="137"/>
      <c r="AJ23" s="137"/>
      <c r="AK23" s="137"/>
      <c r="AL23" s="137"/>
      <c r="AM23" s="137"/>
      <c r="AN23" s="138"/>
      <c r="AO23" s="138"/>
      <c r="AP23"/>
      <c r="AQ23" s="89"/>
    </row>
    <row r="24" spans="1:43" ht="13.15" customHeight="1" x14ac:dyDescent="0.2">
      <c r="A24" s="26" t="s">
        <v>298</v>
      </c>
      <c r="B24" s="435"/>
      <c r="C24" s="29">
        <v>15</v>
      </c>
      <c r="D24" s="25">
        <v>50</v>
      </c>
      <c r="E24" s="653" t="s">
        <v>495</v>
      </c>
      <c r="F24" s="654"/>
      <c r="G24" s="654"/>
      <c r="H24" s="654"/>
      <c r="I24" s="654"/>
      <c r="J24" s="655"/>
      <c r="K24" s="699" t="s">
        <v>322</v>
      </c>
      <c r="L24" s="654"/>
      <c r="M24" s="654"/>
      <c r="N24" s="655"/>
      <c r="O24" s="148" t="s">
        <v>236</v>
      </c>
      <c r="P24" s="97" t="s">
        <v>485</v>
      </c>
      <c r="Q24" s="565" t="s">
        <v>304</v>
      </c>
      <c r="R24" s="566"/>
      <c r="S24" s="90"/>
      <c r="T24" s="91"/>
      <c r="U24" s="92"/>
      <c r="V24" s="824"/>
      <c r="W24" s="1">
        <v>50</v>
      </c>
      <c r="X24" s="139" t="s">
        <v>410</v>
      </c>
      <c r="Y24" s="139"/>
      <c r="Z24" s="139" t="s">
        <v>407</v>
      </c>
      <c r="AA24" s="139"/>
      <c r="AB24" s="139" t="s">
        <v>407</v>
      </c>
      <c r="AC24" s="139" t="s">
        <v>407</v>
      </c>
      <c r="AD24" s="137"/>
      <c r="AE24" s="137"/>
      <c r="AF24" s="137"/>
      <c r="AG24" s="137"/>
      <c r="AH24" s="137"/>
      <c r="AI24" s="137"/>
      <c r="AJ24" s="137"/>
      <c r="AK24" s="137"/>
      <c r="AL24" s="137"/>
      <c r="AM24" s="137"/>
      <c r="AN24" s="138"/>
      <c r="AO24" s="138"/>
      <c r="AP24"/>
      <c r="AQ24" s="89"/>
    </row>
    <row r="25" spans="1:43" ht="13.15" customHeight="1" x14ac:dyDescent="0.2">
      <c r="A25" s="19" t="s">
        <v>305</v>
      </c>
      <c r="B25" s="60"/>
      <c r="C25" s="235">
        <v>15</v>
      </c>
      <c r="D25" s="242">
        <v>50</v>
      </c>
      <c r="E25" s="644" t="s">
        <v>503</v>
      </c>
      <c r="F25" s="645"/>
      <c r="G25" s="645"/>
      <c r="H25" s="645"/>
      <c r="I25" s="645"/>
      <c r="J25" s="646"/>
      <c r="K25" s="700" t="s">
        <v>323</v>
      </c>
      <c r="L25" s="645"/>
      <c r="M25" s="645"/>
      <c r="N25" s="646"/>
      <c r="O25" s="188" t="s">
        <v>236</v>
      </c>
      <c r="P25" s="98" t="s">
        <v>246</v>
      </c>
      <c r="Q25" s="585" t="s">
        <v>306</v>
      </c>
      <c r="R25" s="615"/>
      <c r="S25" s="93"/>
      <c r="U25" s="89"/>
      <c r="V25" s="824"/>
      <c r="W25" s="227" t="s">
        <v>295</v>
      </c>
      <c r="X25" s="139" t="s">
        <v>410</v>
      </c>
      <c r="Y25" s="139"/>
      <c r="Z25" s="139" t="s">
        <v>407</v>
      </c>
      <c r="AA25" s="139"/>
      <c r="AB25" s="139" t="s">
        <v>407</v>
      </c>
      <c r="AC25" s="139" t="s">
        <v>407</v>
      </c>
      <c r="AD25" s="139" t="s">
        <v>407</v>
      </c>
      <c r="AE25" s="147"/>
      <c r="AF25" s="137"/>
      <c r="AG25" s="137"/>
      <c r="AH25" s="137"/>
      <c r="AI25" s="137"/>
      <c r="AJ25" s="137"/>
      <c r="AK25" s="137"/>
      <c r="AL25" s="137"/>
      <c r="AM25" s="137"/>
      <c r="AN25" s="137"/>
      <c r="AO25" s="138"/>
      <c r="AP25" s="138"/>
      <c r="AQ25" s="89"/>
    </row>
    <row r="26" spans="1:43" ht="13.15" customHeight="1" x14ac:dyDescent="0.2">
      <c r="A26" s="19"/>
      <c r="B26" s="60"/>
      <c r="C26" s="24">
        <v>65</v>
      </c>
      <c r="D26" s="23">
        <v>200</v>
      </c>
      <c r="E26" s="583" t="s">
        <v>503</v>
      </c>
      <c r="F26" s="549"/>
      <c r="G26" s="549"/>
      <c r="H26" s="549"/>
      <c r="I26" s="549"/>
      <c r="J26" s="550"/>
      <c r="K26" s="584" t="s">
        <v>323</v>
      </c>
      <c r="L26" s="549"/>
      <c r="M26" s="549"/>
      <c r="N26" s="550"/>
      <c r="O26" s="98" t="s">
        <v>236</v>
      </c>
      <c r="P26" s="98" t="s">
        <v>246</v>
      </c>
      <c r="Q26" s="585" t="s">
        <v>307</v>
      </c>
      <c r="R26" s="615"/>
      <c r="S26" s="88"/>
      <c r="U26" s="89"/>
      <c r="V26" s="824"/>
      <c r="W26" s="1">
        <v>80</v>
      </c>
      <c r="X26" s="139" t="s">
        <v>410</v>
      </c>
      <c r="Y26" s="139"/>
      <c r="Z26" s="139" t="s">
        <v>421</v>
      </c>
      <c r="AA26" s="139"/>
      <c r="AB26" s="139" t="s">
        <v>407</v>
      </c>
      <c r="AC26" s="139" t="s">
        <v>407</v>
      </c>
      <c r="AD26" s="139" t="s">
        <v>407</v>
      </c>
      <c r="AE26" s="139" t="s">
        <v>407</v>
      </c>
      <c r="AF26" s="137"/>
      <c r="AG26" s="137"/>
      <c r="AH26" s="137"/>
      <c r="AI26" s="137"/>
      <c r="AJ26" s="137"/>
      <c r="AK26" s="137"/>
      <c r="AL26" s="137"/>
      <c r="AM26" s="137"/>
      <c r="AN26" s="137"/>
      <c r="AO26" s="138"/>
      <c r="AP26" s="138"/>
      <c r="AQ26" s="89"/>
    </row>
    <row r="27" spans="1:43" ht="13.15" customHeight="1" x14ac:dyDescent="0.2">
      <c r="A27" s="19"/>
      <c r="B27" s="60"/>
      <c r="C27" s="24"/>
      <c r="D27" s="23"/>
      <c r="E27" s="155"/>
      <c r="F27" s="160"/>
      <c r="G27" s="160"/>
      <c r="H27" s="160"/>
      <c r="I27" s="160"/>
      <c r="J27" s="181"/>
      <c r="K27" s="182"/>
      <c r="L27" s="160"/>
      <c r="M27" s="160"/>
      <c r="N27" s="181"/>
      <c r="O27" s="98"/>
      <c r="P27" s="98"/>
      <c r="Q27" s="183"/>
      <c r="R27" s="161"/>
      <c r="S27" s="93"/>
      <c r="U27" s="89"/>
      <c r="V27" s="824"/>
      <c r="W27" s="1">
        <v>100</v>
      </c>
      <c r="X27" s="139" t="s">
        <v>410</v>
      </c>
      <c r="Y27" s="139"/>
      <c r="Z27" s="139" t="s">
        <v>421</v>
      </c>
      <c r="AA27" s="139"/>
      <c r="AB27" s="139" t="s">
        <v>397</v>
      </c>
      <c r="AC27" s="139" t="s">
        <v>397</v>
      </c>
      <c r="AD27" s="139" t="s">
        <v>397</v>
      </c>
      <c r="AE27" s="139" t="s">
        <v>396</v>
      </c>
      <c r="AF27" s="139" t="s">
        <v>396</v>
      </c>
      <c r="AG27" s="137"/>
      <c r="AH27" s="137"/>
      <c r="AI27" s="137"/>
      <c r="AJ27" s="137"/>
      <c r="AK27" s="137"/>
      <c r="AL27" s="137"/>
      <c r="AM27" s="137"/>
      <c r="AN27" s="137"/>
      <c r="AO27" s="138"/>
      <c r="AP27" s="138"/>
      <c r="AQ27" s="89"/>
    </row>
    <row r="28" spans="1:43" ht="13.15" customHeight="1" x14ac:dyDescent="0.2">
      <c r="A28" s="20"/>
      <c r="B28" s="424"/>
      <c r="C28" s="28"/>
      <c r="D28" s="27"/>
      <c r="E28" s="320"/>
      <c r="F28" s="124"/>
      <c r="G28" s="124"/>
      <c r="H28" s="124"/>
      <c r="I28" s="124"/>
      <c r="J28" s="354"/>
      <c r="K28" s="321"/>
      <c r="L28" s="124"/>
      <c r="M28" s="124"/>
      <c r="N28" s="354"/>
      <c r="O28" s="110"/>
      <c r="P28" s="110"/>
      <c r="Q28" s="80"/>
      <c r="R28" s="80"/>
      <c r="S28" s="94"/>
      <c r="T28" s="95"/>
      <c r="U28" s="96"/>
      <c r="V28" s="824"/>
      <c r="W28" s="227" t="s">
        <v>296</v>
      </c>
      <c r="X28" s="139" t="s">
        <v>410</v>
      </c>
      <c r="Y28" s="139"/>
      <c r="Z28" s="139" t="s">
        <v>421</v>
      </c>
      <c r="AA28" s="139"/>
      <c r="AB28" s="139" t="s">
        <v>403</v>
      </c>
      <c r="AC28" s="139" t="s">
        <v>397</v>
      </c>
      <c r="AD28" s="139" t="s">
        <v>397</v>
      </c>
      <c r="AE28" s="139" t="s">
        <v>397</v>
      </c>
      <c r="AF28" s="139" t="s">
        <v>397</v>
      </c>
      <c r="AG28" s="139" t="s">
        <v>397</v>
      </c>
      <c r="AH28" s="137"/>
      <c r="AI28" s="137"/>
      <c r="AJ28" s="137"/>
      <c r="AK28" s="137"/>
      <c r="AL28" s="137"/>
      <c r="AM28" s="137"/>
      <c r="AN28" s="137"/>
      <c r="AO28" s="138"/>
      <c r="AP28" s="138"/>
      <c r="AQ28" s="89"/>
    </row>
    <row r="29" spans="1:43" ht="13.15" customHeight="1" x14ac:dyDescent="0.2">
      <c r="A29" s="19" t="s">
        <v>249</v>
      </c>
      <c r="B29" s="60"/>
      <c r="C29" s="24">
        <v>15</v>
      </c>
      <c r="D29" s="24">
        <v>15</v>
      </c>
      <c r="E29" s="561" t="s">
        <v>271</v>
      </c>
      <c r="F29" s="562"/>
      <c r="G29" s="562"/>
      <c r="H29" s="562"/>
      <c r="I29" s="562"/>
      <c r="J29" s="563"/>
      <c r="K29" s="564" t="s">
        <v>323</v>
      </c>
      <c r="L29" s="562"/>
      <c r="M29" s="562"/>
      <c r="N29" s="563"/>
      <c r="O29" s="97" t="s">
        <v>236</v>
      </c>
      <c r="P29" s="97" t="s">
        <v>246</v>
      </c>
      <c r="Q29" s="565" t="s">
        <v>306</v>
      </c>
      <c r="R29" s="566"/>
      <c r="S29" s="694" t="s">
        <v>548</v>
      </c>
      <c r="T29" s="91"/>
      <c r="U29" s="92"/>
      <c r="V29" s="824"/>
      <c r="W29" s="1">
        <v>150</v>
      </c>
      <c r="X29" s="139" t="s">
        <v>410</v>
      </c>
      <c r="Y29" s="139"/>
      <c r="Z29" s="139" t="s">
        <v>394</v>
      </c>
      <c r="AA29" s="139"/>
      <c r="AB29" s="139" t="s">
        <v>403</v>
      </c>
      <c r="AC29" s="142" t="s">
        <v>546</v>
      </c>
      <c r="AD29" s="139" t="s">
        <v>397</v>
      </c>
      <c r="AE29" s="139" t="s">
        <v>397</v>
      </c>
      <c r="AF29" s="139" t="s">
        <v>397</v>
      </c>
      <c r="AG29" s="139" t="s">
        <v>397</v>
      </c>
      <c r="AH29" s="139" t="s">
        <v>397</v>
      </c>
      <c r="AI29" s="137"/>
      <c r="AJ29" s="137"/>
      <c r="AK29" s="137"/>
      <c r="AL29" s="137"/>
      <c r="AM29" s="137"/>
      <c r="AN29" s="137"/>
      <c r="AO29" s="138"/>
      <c r="AP29" s="138"/>
      <c r="AQ29" s="89"/>
    </row>
    <row r="30" spans="1:43" ht="13.15" customHeight="1" x14ac:dyDescent="0.2">
      <c r="A30" s="19" t="s">
        <v>250</v>
      </c>
      <c r="B30" s="60"/>
      <c r="C30" s="24">
        <v>25</v>
      </c>
      <c r="D30" s="24">
        <v>200</v>
      </c>
      <c r="E30" s="583" t="s">
        <v>271</v>
      </c>
      <c r="F30" s="549"/>
      <c r="G30" s="549"/>
      <c r="H30" s="549"/>
      <c r="I30" s="549"/>
      <c r="J30" s="550"/>
      <c r="K30" s="584" t="s">
        <v>323</v>
      </c>
      <c r="L30" s="549"/>
      <c r="M30" s="549"/>
      <c r="N30" s="550"/>
      <c r="O30" s="98" t="s">
        <v>236</v>
      </c>
      <c r="P30" s="98" t="s">
        <v>246</v>
      </c>
      <c r="Q30" s="585" t="s">
        <v>307</v>
      </c>
      <c r="R30" s="615"/>
      <c r="S30" s="695"/>
      <c r="U30" s="89"/>
      <c r="V30" s="824"/>
      <c r="W30" s="1">
        <v>200</v>
      </c>
      <c r="X30" s="139" t="s">
        <v>410</v>
      </c>
      <c r="Y30" s="139"/>
      <c r="Z30" s="139" t="s">
        <v>394</v>
      </c>
      <c r="AA30" s="139"/>
      <c r="AB30" s="139" t="s">
        <v>403</v>
      </c>
      <c r="AC30" s="142" t="s">
        <v>628</v>
      </c>
      <c r="AD30" s="142" t="s">
        <v>628</v>
      </c>
      <c r="AE30" s="139" t="s">
        <v>397</v>
      </c>
      <c r="AF30" s="139" t="s">
        <v>397</v>
      </c>
      <c r="AG30" s="139" t="s">
        <v>397</v>
      </c>
      <c r="AH30" s="139" t="s">
        <v>397</v>
      </c>
      <c r="AI30" s="139" t="s">
        <v>397</v>
      </c>
      <c r="AJ30" s="137"/>
      <c r="AK30" s="137"/>
      <c r="AL30" s="137"/>
      <c r="AM30" s="137"/>
      <c r="AN30" s="137"/>
      <c r="AO30" s="138"/>
      <c r="AP30" s="138"/>
      <c r="AQ30" s="89"/>
    </row>
    <row r="31" spans="1:43" ht="13.15" customHeight="1" x14ac:dyDescent="0.2">
      <c r="A31" s="19"/>
      <c r="B31" s="60"/>
      <c r="C31" s="210" t="s">
        <v>236</v>
      </c>
      <c r="D31" s="210" t="s">
        <v>236</v>
      </c>
      <c r="E31" s="583" t="s">
        <v>325</v>
      </c>
      <c r="F31" s="549"/>
      <c r="G31" s="549"/>
      <c r="H31" s="549"/>
      <c r="I31" s="549"/>
      <c r="J31" s="550"/>
      <c r="K31" s="584" t="s">
        <v>322</v>
      </c>
      <c r="L31" s="549"/>
      <c r="M31" s="549"/>
      <c r="N31" s="550"/>
      <c r="O31" s="98" t="s">
        <v>236</v>
      </c>
      <c r="P31" s="98" t="s">
        <v>246</v>
      </c>
      <c r="Q31" s="585" t="s">
        <v>347</v>
      </c>
      <c r="R31" s="615"/>
      <c r="S31" s="695"/>
      <c r="U31" s="89"/>
      <c r="V31" s="824"/>
      <c r="W31" s="1">
        <v>250</v>
      </c>
      <c r="X31" s="136"/>
      <c r="Y31" s="142"/>
      <c r="Z31" s="142"/>
      <c r="AA31" s="139"/>
      <c r="AB31" s="139"/>
      <c r="AC31" s="136"/>
      <c r="AD31" s="136"/>
      <c r="AE31" s="136"/>
      <c r="AF31" s="136"/>
      <c r="AG31" s="136"/>
      <c r="AH31" s="136"/>
      <c r="AI31" s="136"/>
      <c r="AJ31" s="136"/>
      <c r="AK31" s="137"/>
      <c r="AL31" s="137"/>
      <c r="AM31" s="137"/>
      <c r="AN31" s="137"/>
      <c r="AO31" s="138"/>
      <c r="AP31" s="138"/>
      <c r="AQ31" s="89"/>
    </row>
    <row r="32" spans="1:43" ht="13.15" customHeight="1" x14ac:dyDescent="0.2">
      <c r="A32" s="19"/>
      <c r="B32" s="60"/>
      <c r="C32" s="210"/>
      <c r="D32" s="210"/>
      <c r="E32" s="155"/>
      <c r="F32" s="160"/>
      <c r="G32" s="160"/>
      <c r="H32" s="160"/>
      <c r="I32" s="160"/>
      <c r="J32" s="181"/>
      <c r="K32" s="182"/>
      <c r="L32" s="160"/>
      <c r="M32" s="160"/>
      <c r="N32" s="181"/>
      <c r="O32" s="98"/>
      <c r="P32" s="98"/>
      <c r="Q32" s="347"/>
      <c r="R32" s="348"/>
      <c r="S32" s="695"/>
      <c r="U32" s="89"/>
      <c r="V32" s="824"/>
      <c r="W32" s="1">
        <v>300</v>
      </c>
      <c r="X32" s="136"/>
      <c r="Y32" s="142"/>
      <c r="Z32" s="142"/>
      <c r="AA32" s="136"/>
      <c r="AB32" s="136"/>
      <c r="AC32" s="136"/>
      <c r="AD32" s="136"/>
      <c r="AE32" s="136"/>
      <c r="AF32" s="136"/>
      <c r="AG32" s="136"/>
      <c r="AH32" s="136"/>
      <c r="AI32" s="136"/>
      <c r="AJ32" s="136"/>
      <c r="AK32" s="136"/>
      <c r="AL32" s="137"/>
      <c r="AM32" s="137"/>
      <c r="AN32" s="137"/>
      <c r="AO32" s="138"/>
      <c r="AP32" s="138"/>
      <c r="AQ32" s="89"/>
    </row>
    <row r="33" spans="1:43" ht="13.15" customHeight="1" x14ac:dyDescent="0.2">
      <c r="A33" s="19" t="s">
        <v>256</v>
      </c>
      <c r="B33" s="60"/>
      <c r="C33" s="24">
        <v>100</v>
      </c>
      <c r="D33" s="24">
        <v>150</v>
      </c>
      <c r="E33" s="583" t="s">
        <v>529</v>
      </c>
      <c r="F33" s="549"/>
      <c r="G33" s="549"/>
      <c r="H33" s="549"/>
      <c r="I33" s="549"/>
      <c r="J33" s="550"/>
      <c r="K33" s="584" t="s">
        <v>418</v>
      </c>
      <c r="L33" s="549"/>
      <c r="M33" s="549"/>
      <c r="N33" s="550"/>
      <c r="O33" s="98" t="s">
        <v>236</v>
      </c>
      <c r="P33" s="98" t="s">
        <v>328</v>
      </c>
      <c r="Q33" s="585" t="s">
        <v>332</v>
      </c>
      <c r="R33" s="615"/>
      <c r="S33" s="695"/>
      <c r="T33" s="60" t="s">
        <v>524</v>
      </c>
      <c r="U33" s="322"/>
      <c r="V33" s="824"/>
      <c r="W33" s="1">
        <v>350</v>
      </c>
      <c r="X33" s="136"/>
      <c r="Y33" s="142"/>
      <c r="Z33" s="142"/>
      <c r="AA33" s="136"/>
      <c r="AB33" s="136"/>
      <c r="AC33" s="136"/>
      <c r="AD33" s="136"/>
      <c r="AE33" s="136"/>
      <c r="AF33" s="136"/>
      <c r="AG33" s="136"/>
      <c r="AH33" s="136"/>
      <c r="AI33" s="136"/>
      <c r="AJ33" s="136"/>
      <c r="AK33" s="136"/>
      <c r="AL33" s="136"/>
      <c r="AM33" s="137"/>
      <c r="AN33" s="137"/>
      <c r="AO33" s="138"/>
      <c r="AP33" s="138"/>
      <c r="AQ33" s="89"/>
    </row>
    <row r="34" spans="1:43" ht="13.15" customHeight="1" x14ac:dyDescent="0.2">
      <c r="A34" s="19"/>
      <c r="B34" s="60"/>
      <c r="C34" s="24">
        <v>200</v>
      </c>
      <c r="D34" s="24">
        <v>200</v>
      </c>
      <c r="E34" s="583" t="s">
        <v>528</v>
      </c>
      <c r="F34" s="549"/>
      <c r="G34" s="549"/>
      <c r="H34" s="549"/>
      <c r="I34" s="549"/>
      <c r="J34" s="550"/>
      <c r="K34" s="584" t="s">
        <v>418</v>
      </c>
      <c r="L34" s="549"/>
      <c r="M34" s="549"/>
      <c r="N34" s="550"/>
      <c r="O34" s="165" t="s">
        <v>236</v>
      </c>
      <c r="P34" s="98" t="s">
        <v>328</v>
      </c>
      <c r="Q34" s="585" t="s">
        <v>332</v>
      </c>
      <c r="R34" s="615"/>
      <c r="S34" s="695"/>
      <c r="T34" s="60" t="s">
        <v>525</v>
      </c>
      <c r="U34" s="89"/>
      <c r="V34" s="824"/>
      <c r="W34" s="1">
        <v>400</v>
      </c>
      <c r="X34" s="140"/>
      <c r="Y34" s="142"/>
      <c r="Z34" s="142"/>
      <c r="AA34" s="140"/>
      <c r="AB34" s="140"/>
      <c r="AC34" s="140"/>
      <c r="AD34" s="140"/>
      <c r="AE34" s="140"/>
      <c r="AF34" s="140"/>
      <c r="AG34" s="140"/>
      <c r="AH34" s="140"/>
      <c r="AI34" s="140"/>
      <c r="AJ34" s="141"/>
      <c r="AK34" s="140"/>
      <c r="AL34" s="141"/>
      <c r="AM34" s="141"/>
      <c r="AN34" s="137"/>
      <c r="AO34" s="138"/>
      <c r="AP34" s="138"/>
      <c r="AQ34" s="89"/>
    </row>
    <row r="35" spans="1:43" ht="13.15" customHeight="1" x14ac:dyDescent="0.2">
      <c r="A35" s="19"/>
      <c r="B35" s="60"/>
      <c r="C35" s="24"/>
      <c r="D35" s="24"/>
      <c r="E35" s="583" t="s">
        <v>530</v>
      </c>
      <c r="F35" s="549"/>
      <c r="G35" s="549"/>
      <c r="H35" s="549"/>
      <c r="I35" s="549"/>
      <c r="J35" s="550"/>
      <c r="K35" s="584">
        <v>1.5415000000000001</v>
      </c>
      <c r="L35" s="549"/>
      <c r="M35" s="549"/>
      <c r="N35" s="550"/>
      <c r="O35" s="165" t="s">
        <v>236</v>
      </c>
      <c r="P35" s="98" t="s">
        <v>257</v>
      </c>
      <c r="Q35" s="585" t="s">
        <v>721</v>
      </c>
      <c r="R35" s="615"/>
      <c r="S35" s="695"/>
      <c r="U35" s="89"/>
      <c r="V35" s="824"/>
      <c r="W35" s="1">
        <v>450</v>
      </c>
      <c r="X35" s="141"/>
      <c r="Y35" s="142"/>
      <c r="Z35" s="142"/>
      <c r="AA35" s="140"/>
      <c r="AB35" s="140"/>
      <c r="AC35" s="140"/>
      <c r="AD35" s="140"/>
      <c r="AE35" s="140"/>
      <c r="AF35" s="140"/>
      <c r="AG35" s="140"/>
      <c r="AH35" s="140"/>
      <c r="AI35" s="140"/>
      <c r="AJ35" s="141"/>
      <c r="AK35" s="140"/>
      <c r="AL35" s="141"/>
      <c r="AM35" s="141"/>
      <c r="AN35" s="141"/>
      <c r="AO35" s="138"/>
      <c r="AP35" s="138"/>
      <c r="AQ35" s="89"/>
    </row>
    <row r="36" spans="1:43" ht="13.15" customHeight="1" x14ac:dyDescent="0.2">
      <c r="A36" s="19"/>
      <c r="B36" s="60"/>
      <c r="C36" s="24"/>
      <c r="D36" s="24"/>
      <c r="E36" s="583" t="s">
        <v>327</v>
      </c>
      <c r="F36" s="549"/>
      <c r="G36" s="549"/>
      <c r="H36" s="549"/>
      <c r="I36" s="549"/>
      <c r="J36" s="550"/>
      <c r="K36" s="584" t="s">
        <v>330</v>
      </c>
      <c r="L36" s="549"/>
      <c r="M36" s="549"/>
      <c r="N36" s="550"/>
      <c r="O36" s="98" t="s">
        <v>236</v>
      </c>
      <c r="P36" s="98" t="s">
        <v>257</v>
      </c>
      <c r="Q36" s="585" t="s">
        <v>329</v>
      </c>
      <c r="R36" s="615"/>
      <c r="S36" s="695"/>
      <c r="U36" s="89"/>
      <c r="V36" s="824"/>
      <c r="W36" s="1">
        <v>500</v>
      </c>
      <c r="X36" s="136"/>
      <c r="Y36" s="142"/>
      <c r="Z36" s="142"/>
      <c r="AA36" s="136"/>
      <c r="AB36" s="136"/>
      <c r="AC36" s="136"/>
      <c r="AD36" s="136"/>
      <c r="AE36" s="136"/>
      <c r="AF36" s="136"/>
      <c r="AG36" s="136"/>
      <c r="AH36" s="136"/>
      <c r="AI36" s="136"/>
      <c r="AJ36" s="139"/>
      <c r="AK36" s="136"/>
      <c r="AL36" s="136"/>
      <c r="AM36" s="136"/>
      <c r="AN36" s="136"/>
      <c r="AO36" s="136"/>
      <c r="AP36" s="138"/>
      <c r="AQ36" s="89"/>
    </row>
    <row r="37" spans="1:43" ht="13.15" customHeight="1" x14ac:dyDescent="0.2">
      <c r="A37" s="19" t="s">
        <v>258</v>
      </c>
      <c r="B37" s="60"/>
      <c r="C37" s="24">
        <v>15</v>
      </c>
      <c r="D37" s="24">
        <v>40</v>
      </c>
      <c r="E37" s="583" t="s">
        <v>271</v>
      </c>
      <c r="F37" s="549"/>
      <c r="G37" s="549"/>
      <c r="H37" s="549"/>
      <c r="I37" s="549"/>
      <c r="J37" s="550"/>
      <c r="K37" s="584" t="s">
        <v>323</v>
      </c>
      <c r="L37" s="549"/>
      <c r="M37" s="549"/>
      <c r="N37" s="550"/>
      <c r="O37" s="98" t="s">
        <v>236</v>
      </c>
      <c r="P37" s="98" t="s">
        <v>246</v>
      </c>
      <c r="Q37" s="585" t="s">
        <v>306</v>
      </c>
      <c r="R37" s="615"/>
      <c r="S37" s="695"/>
      <c r="U37" s="89"/>
      <c r="V37" s="824"/>
      <c r="W37" s="1">
        <v>600</v>
      </c>
      <c r="X37" s="136"/>
      <c r="Y37" s="142"/>
      <c r="Z37" s="142"/>
      <c r="AA37" s="136"/>
      <c r="AB37" s="136"/>
      <c r="AC37" s="136"/>
      <c r="AD37" s="136"/>
      <c r="AE37" s="136"/>
      <c r="AF37" s="136"/>
      <c r="AG37" s="136"/>
      <c r="AH37" s="136"/>
      <c r="AI37" s="136"/>
      <c r="AJ37" s="136"/>
      <c r="AK37" s="136"/>
      <c r="AL37" s="136"/>
      <c r="AM37" s="136"/>
      <c r="AN37" s="136"/>
      <c r="AO37" s="136"/>
      <c r="AP37" s="136"/>
      <c r="AQ37" s="89"/>
    </row>
    <row r="38" spans="1:43" ht="13.15" customHeight="1" x14ac:dyDescent="0.2">
      <c r="A38" s="19"/>
      <c r="B38" s="60"/>
      <c r="C38" s="24">
        <v>50</v>
      </c>
      <c r="D38" s="24">
        <v>200</v>
      </c>
      <c r="E38" s="713" t="s">
        <v>378</v>
      </c>
      <c r="F38" s="714"/>
      <c r="G38" s="714"/>
      <c r="H38" s="714"/>
      <c r="I38" s="714"/>
      <c r="J38" s="715"/>
      <c r="K38" s="720" t="s">
        <v>418</v>
      </c>
      <c r="L38" s="714"/>
      <c r="M38" s="714"/>
      <c r="N38" s="715"/>
      <c r="O38" s="98" t="s">
        <v>236</v>
      </c>
      <c r="P38" s="98" t="s">
        <v>328</v>
      </c>
      <c r="Q38" s="718" t="s">
        <v>332</v>
      </c>
      <c r="R38" s="807"/>
      <c r="S38" s="696"/>
      <c r="T38" s="95"/>
      <c r="U38" s="96"/>
      <c r="V38" s="21"/>
      <c r="W38"/>
      <c r="X38">
        <v>15</v>
      </c>
      <c r="Y38" s="453" t="s">
        <v>642</v>
      </c>
      <c r="Z38">
        <v>25</v>
      </c>
      <c r="AA38" s="453" t="s">
        <v>643</v>
      </c>
      <c r="AB38">
        <v>40</v>
      </c>
      <c r="AC38">
        <v>50</v>
      </c>
      <c r="AD38" s="228" t="s">
        <v>295</v>
      </c>
      <c r="AE38">
        <v>80</v>
      </c>
      <c r="AF38">
        <v>100</v>
      </c>
      <c r="AG38" s="228" t="s">
        <v>296</v>
      </c>
      <c r="AH38">
        <v>150</v>
      </c>
      <c r="AI38">
        <v>200</v>
      </c>
      <c r="AJ38">
        <v>250</v>
      </c>
      <c r="AK38">
        <v>300</v>
      </c>
      <c r="AL38">
        <v>350</v>
      </c>
      <c r="AM38" s="2">
        <v>400</v>
      </c>
      <c r="AN38" s="2">
        <v>450</v>
      </c>
      <c r="AO38" s="2">
        <v>500</v>
      </c>
      <c r="AP38" s="2">
        <v>600</v>
      </c>
      <c r="AQ38" s="89"/>
    </row>
    <row r="39" spans="1:43" ht="13.15" customHeight="1" x14ac:dyDescent="0.2">
      <c r="A39" s="26" t="s">
        <v>216</v>
      </c>
      <c r="B39" s="454"/>
      <c r="C39" s="29">
        <v>25</v>
      </c>
      <c r="D39" s="25">
        <v>100</v>
      </c>
      <c r="E39" s="561" t="s">
        <v>384</v>
      </c>
      <c r="F39" s="562"/>
      <c r="G39" s="562"/>
      <c r="H39" s="562"/>
      <c r="I39" s="562"/>
      <c r="J39" s="563"/>
      <c r="K39" s="564" t="s">
        <v>323</v>
      </c>
      <c r="L39" s="562"/>
      <c r="M39" s="562"/>
      <c r="N39" s="563"/>
      <c r="O39" s="97" t="s">
        <v>236</v>
      </c>
      <c r="P39" s="97" t="s">
        <v>246</v>
      </c>
      <c r="Q39" s="565" t="s">
        <v>306</v>
      </c>
      <c r="R39" s="566"/>
      <c r="S39" s="827" t="s">
        <v>357</v>
      </c>
      <c r="T39" s="828"/>
      <c r="U39" s="829"/>
      <c r="V39" s="21"/>
      <c r="X39" s="659" t="s">
        <v>275</v>
      </c>
      <c r="Y39" s="660"/>
      <c r="Z39" s="660"/>
      <c r="AA39" s="660"/>
      <c r="AB39" s="660"/>
      <c r="AC39" s="660"/>
      <c r="AD39" s="660"/>
      <c r="AE39" s="660"/>
      <c r="AF39" s="660"/>
      <c r="AG39" s="660"/>
      <c r="AH39" s="660"/>
      <c r="AI39" s="660"/>
      <c r="AJ39" s="660"/>
      <c r="AK39" s="660"/>
      <c r="AL39" s="660"/>
      <c r="AM39" s="660"/>
      <c r="AN39" s="660"/>
      <c r="AO39" s="660"/>
      <c r="AP39" s="660"/>
      <c r="AQ39" s="89"/>
    </row>
    <row r="40" spans="1:43" ht="13.15" customHeight="1" x14ac:dyDescent="0.2">
      <c r="A40" s="19"/>
      <c r="B40" s="60"/>
      <c r="C40" s="24">
        <v>125</v>
      </c>
      <c r="D40" s="23">
        <v>200</v>
      </c>
      <c r="E40" s="583" t="s">
        <v>384</v>
      </c>
      <c r="F40" s="549"/>
      <c r="G40" s="549"/>
      <c r="H40" s="549"/>
      <c r="I40" s="549"/>
      <c r="J40" s="550"/>
      <c r="K40" s="584" t="s">
        <v>323</v>
      </c>
      <c r="L40" s="549"/>
      <c r="M40" s="549"/>
      <c r="N40" s="550"/>
      <c r="O40" s="98" t="s">
        <v>236</v>
      </c>
      <c r="P40" s="98" t="s">
        <v>246</v>
      </c>
      <c r="Q40" s="585" t="s">
        <v>307</v>
      </c>
      <c r="R40" s="615"/>
      <c r="S40" s="830"/>
      <c r="T40" s="831"/>
      <c r="U40" s="832"/>
      <c r="V40" s="21"/>
      <c r="AQ40" s="89"/>
    </row>
    <row r="41" spans="1:43" ht="13.15" customHeight="1" x14ac:dyDescent="0.2">
      <c r="A41" s="20"/>
      <c r="B41" s="424"/>
      <c r="C41" s="28"/>
      <c r="D41" s="27"/>
      <c r="E41" s="320"/>
      <c r="F41" s="124"/>
      <c r="G41" s="124"/>
      <c r="H41" s="124"/>
      <c r="I41" s="124"/>
      <c r="J41" s="354"/>
      <c r="K41" s="321"/>
      <c r="L41" s="124"/>
      <c r="M41" s="124"/>
      <c r="N41" s="354"/>
      <c r="O41" s="110"/>
      <c r="P41" s="99"/>
      <c r="Q41" s="80"/>
      <c r="R41" s="80"/>
      <c r="S41" s="94"/>
      <c r="T41" s="95"/>
      <c r="U41" s="96"/>
      <c r="V41" s="21"/>
      <c r="X41" s="61" t="s">
        <v>627</v>
      </c>
      <c r="AQ41" s="89"/>
    </row>
    <row r="42" spans="1:43" ht="13.15" customHeight="1" x14ac:dyDescent="0.2">
      <c r="A42" s="19" t="s">
        <v>215</v>
      </c>
      <c r="B42" s="60"/>
      <c r="C42" s="24">
        <v>15</v>
      </c>
      <c r="D42" s="24">
        <v>200</v>
      </c>
      <c r="E42" s="561" t="s">
        <v>247</v>
      </c>
      <c r="F42" s="562"/>
      <c r="G42" s="562"/>
      <c r="H42" s="562"/>
      <c r="I42" s="562"/>
      <c r="J42" s="563"/>
      <c r="K42" s="564" t="s">
        <v>536</v>
      </c>
      <c r="L42" s="562"/>
      <c r="M42" s="562"/>
      <c r="N42" s="563"/>
      <c r="O42" s="97" t="s">
        <v>236</v>
      </c>
      <c r="P42" s="97" t="s">
        <v>246</v>
      </c>
      <c r="Q42" s="565" t="s">
        <v>306</v>
      </c>
      <c r="R42" s="566"/>
      <c r="S42" s="109"/>
      <c r="T42" s="91"/>
      <c r="U42" s="92"/>
      <c r="V42" s="21"/>
      <c r="X42" s="61" t="s">
        <v>692</v>
      </c>
      <c r="AQ42" s="89"/>
    </row>
    <row r="43" spans="1:43" ht="13.15" customHeight="1" x14ac:dyDescent="0.2">
      <c r="A43" s="19"/>
      <c r="B43" s="60"/>
      <c r="C43" s="24"/>
      <c r="D43" s="24"/>
      <c r="E43" s="155"/>
      <c r="F43" s="160"/>
      <c r="G43" s="160"/>
      <c r="H43" s="160"/>
      <c r="I43" s="160"/>
      <c r="J43" s="181"/>
      <c r="K43" s="182"/>
      <c r="L43" s="160"/>
      <c r="M43" s="160"/>
      <c r="N43" s="181"/>
      <c r="O43" s="98"/>
      <c r="P43" s="98"/>
      <c r="Q43" s="347"/>
      <c r="R43" s="161"/>
      <c r="S43" s="88"/>
      <c r="U43" s="89"/>
      <c r="V43" s="21"/>
      <c r="AQ43" s="89"/>
    </row>
    <row r="44" spans="1:43" ht="13.15" customHeight="1" x14ac:dyDescent="0.2">
      <c r="A44" s="20"/>
      <c r="B44" s="424"/>
      <c r="C44" s="28"/>
      <c r="D44" s="28"/>
      <c r="E44" s="320"/>
      <c r="F44" s="124"/>
      <c r="G44" s="124"/>
      <c r="H44" s="124"/>
      <c r="I44" s="124"/>
      <c r="J44" s="354"/>
      <c r="K44" s="321"/>
      <c r="L44" s="124"/>
      <c r="M44" s="124"/>
      <c r="N44" s="354"/>
      <c r="O44" s="110"/>
      <c r="P44" s="110"/>
      <c r="Q44" s="80"/>
      <c r="R44" s="80"/>
      <c r="S44" s="94"/>
      <c r="T44" s="95"/>
      <c r="U44" s="96"/>
      <c r="V44" s="21"/>
      <c r="AQ44" s="89"/>
    </row>
    <row r="45" spans="1:43" ht="13.15" customHeight="1" x14ac:dyDescent="0.2">
      <c r="A45" s="19" t="s">
        <v>214</v>
      </c>
      <c r="B45" s="60"/>
      <c r="C45" s="24">
        <v>15</v>
      </c>
      <c r="D45" s="24">
        <v>200</v>
      </c>
      <c r="E45" s="561" t="s">
        <v>483</v>
      </c>
      <c r="F45" s="562"/>
      <c r="G45" s="562"/>
      <c r="H45" s="562"/>
      <c r="I45" s="562"/>
      <c r="J45" s="563"/>
      <c r="K45" s="564" t="s">
        <v>318</v>
      </c>
      <c r="L45" s="562"/>
      <c r="M45" s="562"/>
      <c r="N45" s="563"/>
      <c r="O45" s="97" t="s">
        <v>335</v>
      </c>
      <c r="P45" s="97" t="s">
        <v>246</v>
      </c>
      <c r="Q45" s="565" t="s">
        <v>309</v>
      </c>
      <c r="R45" s="566"/>
      <c r="S45" s="109"/>
      <c r="T45" s="91"/>
      <c r="U45" s="92"/>
      <c r="V45" s="21"/>
      <c r="AQ45" s="89"/>
    </row>
    <row r="46" spans="1:43" ht="13.15" customHeight="1" x14ac:dyDescent="0.2">
      <c r="A46" s="19"/>
      <c r="B46" s="60"/>
      <c r="C46" s="24"/>
      <c r="D46" s="23"/>
      <c r="E46" s="155"/>
      <c r="F46" s="160"/>
      <c r="G46" s="160"/>
      <c r="H46" s="160"/>
      <c r="I46" s="160"/>
      <c r="J46" s="181"/>
      <c r="K46" s="182"/>
      <c r="L46" s="160"/>
      <c r="M46" s="160"/>
      <c r="N46" s="181"/>
      <c r="O46" s="98"/>
      <c r="P46" s="98"/>
      <c r="Q46" s="347"/>
      <c r="R46" s="161"/>
      <c r="S46" s="88"/>
      <c r="U46" s="89"/>
      <c r="V46" s="21"/>
      <c r="AQ46" s="89"/>
    </row>
    <row r="47" spans="1:43" ht="13.15" customHeight="1" x14ac:dyDescent="0.2">
      <c r="A47" s="19"/>
      <c r="B47" s="60"/>
      <c r="C47" s="28"/>
      <c r="D47" s="27"/>
      <c r="E47" s="320"/>
      <c r="F47" s="124"/>
      <c r="G47" s="124"/>
      <c r="H47" s="124"/>
      <c r="I47" s="124"/>
      <c r="J47" s="354"/>
      <c r="K47" s="321"/>
      <c r="L47" s="124"/>
      <c r="M47" s="124"/>
      <c r="N47" s="354"/>
      <c r="O47" s="110"/>
      <c r="P47" s="110"/>
      <c r="Q47" s="80"/>
      <c r="R47" s="80"/>
      <c r="S47" s="94"/>
      <c r="T47" s="95"/>
      <c r="U47" s="96"/>
      <c r="V47" s="21"/>
      <c r="AQ47" s="89"/>
    </row>
    <row r="48" spans="1:43" ht="13.15" customHeight="1" x14ac:dyDescent="0.2">
      <c r="A48" s="26" t="s">
        <v>213</v>
      </c>
      <c r="B48" s="435"/>
      <c r="C48" s="24">
        <v>15</v>
      </c>
      <c r="D48" s="24">
        <v>200</v>
      </c>
      <c r="E48" s="561" t="s">
        <v>514</v>
      </c>
      <c r="F48" s="562"/>
      <c r="G48" s="562"/>
      <c r="H48" s="562"/>
      <c r="I48" s="562"/>
      <c r="J48" s="563"/>
      <c r="K48" s="564" t="s">
        <v>319</v>
      </c>
      <c r="L48" s="562"/>
      <c r="M48" s="562"/>
      <c r="N48" s="563"/>
      <c r="O48" s="97" t="s">
        <v>335</v>
      </c>
      <c r="P48" s="97" t="s">
        <v>248</v>
      </c>
      <c r="Q48" s="565" t="s">
        <v>309</v>
      </c>
      <c r="R48" s="566"/>
      <c r="S48" s="109"/>
      <c r="T48" s="91"/>
      <c r="U48" s="92"/>
      <c r="V48" s="21"/>
      <c r="AQ48" s="89"/>
    </row>
    <row r="49" spans="1:43" ht="13.15" customHeight="1" x14ac:dyDescent="0.2">
      <c r="A49" s="19"/>
      <c r="B49" s="60"/>
      <c r="C49" s="24"/>
      <c r="D49" s="24"/>
      <c r="E49" s="155"/>
      <c r="F49" s="160"/>
      <c r="G49" s="160"/>
      <c r="H49" s="160"/>
      <c r="I49" s="160"/>
      <c r="J49" s="181"/>
      <c r="K49" s="182"/>
      <c r="L49" s="160"/>
      <c r="M49" s="160"/>
      <c r="N49" s="160"/>
      <c r="O49" s="98"/>
      <c r="P49" s="98"/>
      <c r="Q49" s="347"/>
      <c r="R49" s="161"/>
      <c r="S49" s="88"/>
      <c r="U49" s="89"/>
      <c r="V49" s="21"/>
      <c r="AQ49" s="89"/>
    </row>
    <row r="50" spans="1:43" ht="13.15" customHeight="1" x14ac:dyDescent="0.2">
      <c r="A50" s="20"/>
      <c r="B50" s="424"/>
      <c r="C50" s="28"/>
      <c r="D50" s="28"/>
      <c r="E50" s="320"/>
      <c r="F50" s="124"/>
      <c r="G50" s="124"/>
      <c r="H50" s="124"/>
      <c r="I50" s="124"/>
      <c r="J50" s="354"/>
      <c r="K50" s="321"/>
      <c r="L50" s="124"/>
      <c r="M50" s="124"/>
      <c r="N50" s="124"/>
      <c r="O50" s="110"/>
      <c r="P50" s="110"/>
      <c r="Q50" s="80"/>
      <c r="R50" s="80"/>
      <c r="S50" s="94"/>
      <c r="T50" s="95"/>
      <c r="U50" s="96"/>
      <c r="V50" s="21"/>
      <c r="AQ50" s="89"/>
    </row>
    <row r="51" spans="1:43" ht="13.15" customHeight="1" x14ac:dyDescent="0.2">
      <c r="A51" s="19" t="s">
        <v>264</v>
      </c>
      <c r="B51" s="60"/>
      <c r="C51" s="24" t="s">
        <v>313</v>
      </c>
      <c r="D51" s="24" t="s">
        <v>314</v>
      </c>
      <c r="E51" s="561" t="s">
        <v>458</v>
      </c>
      <c r="F51" s="562"/>
      <c r="G51" s="562"/>
      <c r="H51" s="562"/>
      <c r="I51" s="562"/>
      <c r="J51" s="563"/>
      <c r="K51" s="564" t="s">
        <v>655</v>
      </c>
      <c r="L51" s="562"/>
      <c r="M51" s="562"/>
      <c r="N51" s="563"/>
      <c r="O51" s="97" t="s">
        <v>335</v>
      </c>
      <c r="P51" s="97" t="s">
        <v>257</v>
      </c>
      <c r="Q51" s="565" t="s">
        <v>369</v>
      </c>
      <c r="R51" s="566"/>
      <c r="S51" s="109"/>
      <c r="T51" s="91"/>
      <c r="U51" s="92"/>
      <c r="V51" s="21"/>
      <c r="AQ51" s="89"/>
    </row>
    <row r="52" spans="1:43" ht="13.15" customHeight="1" x14ac:dyDescent="0.2">
      <c r="A52" s="20"/>
      <c r="B52" s="424"/>
      <c r="C52" s="28"/>
      <c r="D52" s="28"/>
      <c r="E52" s="320"/>
      <c r="F52" s="349"/>
      <c r="G52" s="349"/>
      <c r="H52" s="349"/>
      <c r="I52" s="349"/>
      <c r="J52" s="350"/>
      <c r="K52" s="321"/>
      <c r="L52" s="349"/>
      <c r="M52" s="349"/>
      <c r="N52" s="350"/>
      <c r="O52" s="146"/>
      <c r="P52" s="146"/>
      <c r="Q52" s="355"/>
      <c r="R52" s="367"/>
      <c r="S52" s="88"/>
      <c r="U52" s="89"/>
      <c r="V52" s="21"/>
      <c r="AQ52" s="89"/>
    </row>
    <row r="53" spans="1:43" ht="13.15" customHeight="1" x14ac:dyDescent="0.2">
      <c r="A53" s="19" t="s">
        <v>212</v>
      </c>
      <c r="B53" s="60"/>
      <c r="C53" s="24" t="s">
        <v>313</v>
      </c>
      <c r="D53" s="24" t="s">
        <v>314</v>
      </c>
      <c r="E53" s="561" t="s">
        <v>315</v>
      </c>
      <c r="F53" s="562"/>
      <c r="G53" s="562"/>
      <c r="H53" s="562"/>
      <c r="I53" s="562"/>
      <c r="J53" s="563"/>
      <c r="K53" s="564" t="s">
        <v>655</v>
      </c>
      <c r="L53" s="562"/>
      <c r="M53" s="562"/>
      <c r="N53" s="563"/>
      <c r="O53" s="97" t="s">
        <v>335</v>
      </c>
      <c r="P53" s="97" t="s">
        <v>257</v>
      </c>
      <c r="Q53" s="565" t="s">
        <v>316</v>
      </c>
      <c r="R53" s="566"/>
      <c r="S53" s="109"/>
      <c r="T53" s="91"/>
      <c r="U53" s="92"/>
      <c r="V53" s="21"/>
      <c r="AQ53" s="89"/>
    </row>
    <row r="54" spans="1:43" ht="13.15" customHeight="1" x14ac:dyDescent="0.2">
      <c r="A54" s="20"/>
      <c r="B54" s="424"/>
      <c r="C54" s="28"/>
      <c r="D54" s="28"/>
      <c r="E54" s="320"/>
      <c r="F54" s="349"/>
      <c r="G54" s="349"/>
      <c r="H54" s="349"/>
      <c r="I54" s="349"/>
      <c r="J54" s="350"/>
      <c r="K54" s="124"/>
      <c r="L54" s="349"/>
      <c r="M54" s="349"/>
      <c r="N54" s="350"/>
      <c r="O54" s="110"/>
      <c r="P54" s="110"/>
      <c r="Q54" s="353"/>
      <c r="R54" s="352"/>
      <c r="S54" s="94"/>
      <c r="T54" s="95"/>
      <c r="U54" s="96"/>
      <c r="V54" s="21"/>
      <c r="W54" s="310"/>
      <c r="X54" s="310"/>
      <c r="Y54" s="311"/>
      <c r="Z54" s="311"/>
      <c r="AA54" s="311"/>
      <c r="AB54" s="311"/>
      <c r="AC54" s="311"/>
      <c r="AD54" s="311"/>
      <c r="AE54" s="310"/>
      <c r="AF54" s="311"/>
      <c r="AG54" s="311"/>
      <c r="AH54" s="311"/>
      <c r="AI54" s="310"/>
      <c r="AJ54" s="310"/>
      <c r="AK54" s="310"/>
      <c r="AL54" s="311"/>
      <c r="AM54" s="310"/>
      <c r="AN54" s="161"/>
      <c r="AO54" s="161"/>
      <c r="AP54" s="311"/>
      <c r="AQ54" s="89"/>
    </row>
    <row r="55" spans="1:43" ht="13.15" customHeight="1" x14ac:dyDescent="0.2">
      <c r="A55" s="19" t="s">
        <v>211</v>
      </c>
      <c r="B55" s="60"/>
      <c r="C55" s="29">
        <v>15</v>
      </c>
      <c r="D55" s="25">
        <v>200</v>
      </c>
      <c r="E55" s="561" t="s">
        <v>263</v>
      </c>
      <c r="F55" s="562"/>
      <c r="G55" s="562"/>
      <c r="H55" s="562"/>
      <c r="I55" s="562"/>
      <c r="J55" s="563"/>
      <c r="K55" s="564" t="s">
        <v>724</v>
      </c>
      <c r="L55" s="562"/>
      <c r="M55" s="562"/>
      <c r="N55" s="563"/>
      <c r="O55" s="97" t="s">
        <v>335</v>
      </c>
      <c r="P55" s="97"/>
      <c r="Q55" s="565" t="s">
        <v>339</v>
      </c>
      <c r="R55" s="566"/>
      <c r="S55" s="825" t="s">
        <v>669</v>
      </c>
      <c r="T55" s="552"/>
      <c r="U55" s="826"/>
      <c r="V55" s="21"/>
      <c r="W55" s="624" t="s">
        <v>259</v>
      </c>
      <c r="X55" s="551" t="s">
        <v>197</v>
      </c>
      <c r="Y55" s="552"/>
      <c r="Z55" s="552"/>
      <c r="AA55" s="552"/>
      <c r="AB55" s="552"/>
      <c r="AC55" s="552"/>
      <c r="AD55" s="553"/>
      <c r="AE55" s="557" t="s">
        <v>241</v>
      </c>
      <c r="AF55" s="552"/>
      <c r="AG55" s="552"/>
      <c r="AH55" s="553"/>
      <c r="AI55" s="559" t="s">
        <v>243</v>
      </c>
      <c r="AJ55" s="559" t="s">
        <v>242</v>
      </c>
      <c r="AK55" s="557" t="s">
        <v>244</v>
      </c>
      <c r="AL55" s="553"/>
      <c r="AM55" s="557" t="s">
        <v>245</v>
      </c>
      <c r="AN55" s="626"/>
      <c r="AO55" s="626"/>
      <c r="AP55" s="627"/>
      <c r="AQ55" s="89"/>
    </row>
    <row r="56" spans="1:43" ht="13.15" customHeight="1" x14ac:dyDescent="0.2">
      <c r="A56" s="19"/>
      <c r="B56" s="60"/>
      <c r="C56" s="24"/>
      <c r="D56" s="23"/>
      <c r="E56" s="520"/>
      <c r="F56" s="508"/>
      <c r="G56" s="508"/>
      <c r="H56" s="508"/>
      <c r="I56" s="508"/>
      <c r="J56" s="521"/>
      <c r="K56" s="517"/>
      <c r="L56" s="508"/>
      <c r="M56" s="508"/>
      <c r="N56" s="521"/>
      <c r="O56" s="165"/>
      <c r="P56" s="165"/>
      <c r="Q56" s="508"/>
      <c r="R56" s="508"/>
      <c r="S56" s="88"/>
      <c r="U56" s="89"/>
      <c r="V56" s="21"/>
      <c r="W56" s="625"/>
      <c r="X56" s="554"/>
      <c r="Y56" s="555"/>
      <c r="Z56" s="555"/>
      <c r="AA56" s="555"/>
      <c r="AB56" s="555"/>
      <c r="AC56" s="555"/>
      <c r="AD56" s="556"/>
      <c r="AE56" s="558"/>
      <c r="AF56" s="555"/>
      <c r="AG56" s="555"/>
      <c r="AH56" s="556"/>
      <c r="AI56" s="560"/>
      <c r="AJ56" s="560"/>
      <c r="AK56" s="558"/>
      <c r="AL56" s="556"/>
      <c r="AM56" s="628"/>
      <c r="AN56" s="586"/>
      <c r="AO56" s="586"/>
      <c r="AP56" s="629"/>
      <c r="AQ56" s="89"/>
    </row>
    <row r="57" spans="1:43" ht="13.15" customHeight="1" x14ac:dyDescent="0.2">
      <c r="A57" s="19"/>
      <c r="B57" s="60"/>
      <c r="C57" s="28"/>
      <c r="D57" s="27"/>
      <c r="E57" s="122"/>
      <c r="F57" s="123"/>
      <c r="G57" s="123"/>
      <c r="H57" s="123"/>
      <c r="I57" s="123"/>
      <c r="J57" s="112"/>
      <c r="K57" s="355"/>
      <c r="L57" s="123"/>
      <c r="M57" s="123"/>
      <c r="N57" s="112"/>
      <c r="O57" s="146"/>
      <c r="P57" s="146"/>
      <c r="Q57" s="123"/>
      <c r="R57" s="522"/>
      <c r="S57" s="88"/>
      <c r="U57" s="89"/>
      <c r="V57" s="21"/>
      <c r="W57" s="127" t="s">
        <v>390</v>
      </c>
      <c r="X57" s="630" t="s">
        <v>349</v>
      </c>
      <c r="Y57" s="552"/>
      <c r="Z57" s="552"/>
      <c r="AA57" s="552"/>
      <c r="AB57" s="552"/>
      <c r="AC57" s="552"/>
      <c r="AD57" s="553"/>
      <c r="AE57" s="572">
        <v>1.0345</v>
      </c>
      <c r="AF57" s="573"/>
      <c r="AG57" s="573"/>
      <c r="AH57" s="574"/>
      <c r="AI57" s="125" t="s">
        <v>236</v>
      </c>
      <c r="AJ57" s="125" t="s">
        <v>246</v>
      </c>
      <c r="AK57" s="575" t="s">
        <v>348</v>
      </c>
      <c r="AL57" s="576"/>
      <c r="AM57" s="90"/>
      <c r="AN57" s="91"/>
      <c r="AO57" s="91"/>
      <c r="AP57" s="129"/>
      <c r="AQ57" s="89"/>
    </row>
    <row r="58" spans="1:43" ht="13.15" customHeight="1" x14ac:dyDescent="0.2">
      <c r="A58" s="375" t="s">
        <v>547</v>
      </c>
      <c r="B58" s="462"/>
      <c r="C58" s="376"/>
      <c r="D58" s="376"/>
      <c r="E58" s="587"/>
      <c r="F58" s="588"/>
      <c r="G58" s="588"/>
      <c r="H58" s="588"/>
      <c r="I58" s="588"/>
      <c r="J58" s="589"/>
      <c r="K58" s="590"/>
      <c r="L58" s="588"/>
      <c r="M58" s="588"/>
      <c r="N58" s="589"/>
      <c r="O58" s="377" t="s">
        <v>335</v>
      </c>
      <c r="P58" s="377"/>
      <c r="Q58" s="591" t="s">
        <v>549</v>
      </c>
      <c r="R58" s="592"/>
      <c r="S58" s="378"/>
      <c r="T58" s="379"/>
      <c r="U58" s="380"/>
      <c r="V58" s="21"/>
      <c r="W58" s="128" t="s">
        <v>391</v>
      </c>
      <c r="X58" s="546" t="s">
        <v>350</v>
      </c>
      <c r="Y58" s="547"/>
      <c r="Z58" s="547"/>
      <c r="AA58" s="547"/>
      <c r="AB58" s="547"/>
      <c r="AC58" s="547"/>
      <c r="AD58" s="548"/>
      <c r="AE58" s="541">
        <v>1.0345</v>
      </c>
      <c r="AF58" s="542"/>
      <c r="AG58" s="542"/>
      <c r="AH58" s="543"/>
      <c r="AI58" s="126" t="s">
        <v>236</v>
      </c>
      <c r="AJ58" s="126" t="s">
        <v>246</v>
      </c>
      <c r="AK58" s="544" t="s">
        <v>348</v>
      </c>
      <c r="AL58" s="545"/>
      <c r="AM58" s="88"/>
      <c r="AP58" s="130"/>
      <c r="AQ58" s="89"/>
    </row>
    <row r="59" spans="1:43" ht="13.15" customHeight="1" x14ac:dyDescent="0.2">
      <c r="A59" s="26" t="s">
        <v>278</v>
      </c>
      <c r="B59" s="60"/>
      <c r="C59" s="24" t="s">
        <v>210</v>
      </c>
      <c r="D59" s="25">
        <v>50</v>
      </c>
      <c r="E59" s="561" t="s">
        <v>507</v>
      </c>
      <c r="F59" s="595"/>
      <c r="G59" s="595"/>
      <c r="H59" s="595"/>
      <c r="I59" s="595"/>
      <c r="J59" s="596"/>
      <c r="K59" s="597" t="s">
        <v>450</v>
      </c>
      <c r="L59" s="598"/>
      <c r="M59" s="598"/>
      <c r="N59" s="599"/>
      <c r="O59" s="97" t="s">
        <v>422</v>
      </c>
      <c r="P59" s="97" t="s">
        <v>283</v>
      </c>
      <c r="Q59" s="565" t="s">
        <v>266</v>
      </c>
      <c r="R59" s="566"/>
      <c r="S59" s="90"/>
      <c r="T59" s="91"/>
      <c r="U59" s="92"/>
      <c r="V59" s="21"/>
      <c r="W59" s="128" t="s">
        <v>345</v>
      </c>
      <c r="X59" s="546" t="s">
        <v>431</v>
      </c>
      <c r="Y59" s="547"/>
      <c r="Z59" s="547"/>
      <c r="AA59" s="547"/>
      <c r="AB59" s="547"/>
      <c r="AC59" s="547"/>
      <c r="AD59" s="548"/>
      <c r="AE59" s="541" t="s">
        <v>408</v>
      </c>
      <c r="AF59" s="542"/>
      <c r="AG59" s="542"/>
      <c r="AH59" s="543"/>
      <c r="AI59" s="126" t="s">
        <v>236</v>
      </c>
      <c r="AJ59" s="126" t="s">
        <v>328</v>
      </c>
      <c r="AK59" s="544" t="s">
        <v>347</v>
      </c>
      <c r="AL59" s="545"/>
      <c r="AM59" s="88"/>
      <c r="AP59" s="130"/>
      <c r="AQ59" s="89"/>
    </row>
    <row r="60" spans="1:43" ht="13.15" customHeight="1" x14ac:dyDescent="0.2">
      <c r="A60" s="178" t="s">
        <v>279</v>
      </c>
      <c r="B60" s="374"/>
      <c r="C60" s="24">
        <v>80</v>
      </c>
      <c r="D60" s="23" t="s">
        <v>277</v>
      </c>
      <c r="E60" s="619" t="s">
        <v>508</v>
      </c>
      <c r="F60" s="620"/>
      <c r="G60" s="620"/>
      <c r="H60" s="620"/>
      <c r="I60" s="620"/>
      <c r="J60" s="621"/>
      <c r="K60" s="567" t="s">
        <v>450</v>
      </c>
      <c r="L60" s="568"/>
      <c r="M60" s="568"/>
      <c r="N60" s="569"/>
      <c r="O60" s="98" t="s">
        <v>335</v>
      </c>
      <c r="P60" s="98" t="s">
        <v>283</v>
      </c>
      <c r="Q60" s="570" t="s">
        <v>266</v>
      </c>
      <c r="R60" s="571"/>
      <c r="S60" s="88"/>
      <c r="U60" s="89"/>
      <c r="V60" s="21"/>
      <c r="W60" s="128" t="s">
        <v>346</v>
      </c>
      <c r="X60" s="546" t="s">
        <v>432</v>
      </c>
      <c r="Y60" s="547"/>
      <c r="Z60" s="547"/>
      <c r="AA60" s="547"/>
      <c r="AB60" s="547"/>
      <c r="AC60" s="547"/>
      <c r="AD60" s="548"/>
      <c r="AE60" s="541" t="s">
        <v>408</v>
      </c>
      <c r="AF60" s="542"/>
      <c r="AG60" s="542"/>
      <c r="AH60" s="543"/>
      <c r="AI60" s="126" t="s">
        <v>236</v>
      </c>
      <c r="AJ60" s="126" t="s">
        <v>328</v>
      </c>
      <c r="AK60" s="544" t="s">
        <v>347</v>
      </c>
      <c r="AL60" s="545"/>
      <c r="AM60" s="329" t="s">
        <v>631</v>
      </c>
      <c r="AP60" s="130"/>
      <c r="AQ60" s="89"/>
    </row>
    <row r="61" spans="1:43" ht="13.15" customHeight="1" x14ac:dyDescent="0.2">
      <c r="A61" s="178" t="s">
        <v>280</v>
      </c>
      <c r="B61" s="374"/>
      <c r="C61" s="24"/>
      <c r="D61" s="23"/>
      <c r="E61" s="184"/>
      <c r="F61" s="179"/>
      <c r="G61" s="179"/>
      <c r="H61" s="179"/>
      <c r="I61" s="179"/>
      <c r="J61" s="179"/>
      <c r="K61" s="179"/>
      <c r="L61" s="179"/>
      <c r="M61" s="179"/>
      <c r="N61" s="179"/>
      <c r="O61" s="179"/>
      <c r="P61" s="179"/>
      <c r="Q61" s="179"/>
      <c r="R61" s="180"/>
      <c r="S61" s="88"/>
      <c r="U61" s="89"/>
      <c r="V61" s="21"/>
      <c r="W61" s="128" t="s">
        <v>328</v>
      </c>
      <c r="X61" s="546" t="s">
        <v>395</v>
      </c>
      <c r="Y61" s="547"/>
      <c r="Z61" s="547"/>
      <c r="AA61" s="547"/>
      <c r="AB61" s="547"/>
      <c r="AC61" s="547"/>
      <c r="AD61" s="548"/>
      <c r="AE61" s="541" t="s">
        <v>417</v>
      </c>
      <c r="AF61" s="542"/>
      <c r="AG61" s="542"/>
      <c r="AH61" s="543"/>
      <c r="AI61" s="126" t="s">
        <v>236</v>
      </c>
      <c r="AJ61" s="126" t="s">
        <v>328</v>
      </c>
      <c r="AK61" s="544" t="s">
        <v>347</v>
      </c>
      <c r="AL61" s="545"/>
      <c r="AM61" s="329" t="s">
        <v>631</v>
      </c>
      <c r="AP61" s="130"/>
      <c r="AQ61" s="89"/>
    </row>
    <row r="62" spans="1:43" ht="13.15" customHeight="1" x14ac:dyDescent="0.2">
      <c r="A62" s="178" t="s">
        <v>281</v>
      </c>
      <c r="B62" s="374"/>
      <c r="C62" s="24"/>
      <c r="D62" s="23"/>
      <c r="E62" s="155"/>
      <c r="F62" s="80"/>
      <c r="G62" s="80"/>
      <c r="H62" s="80"/>
      <c r="I62" s="80"/>
      <c r="J62" s="80"/>
      <c r="K62" s="80"/>
      <c r="L62" s="80"/>
      <c r="M62" s="80"/>
      <c r="N62" s="80"/>
      <c r="O62" s="80"/>
      <c r="P62" s="80"/>
      <c r="Q62" s="80"/>
      <c r="R62" s="80"/>
      <c r="S62" s="88"/>
      <c r="U62" s="89"/>
      <c r="V62" s="21"/>
      <c r="W62" s="128"/>
      <c r="X62" s="260"/>
      <c r="Y62" s="160"/>
      <c r="Z62" s="160"/>
      <c r="AA62" s="160"/>
      <c r="AB62" s="160"/>
      <c r="AE62" s="541"/>
      <c r="AF62" s="542"/>
      <c r="AG62" s="542"/>
      <c r="AH62" s="543"/>
      <c r="AI62" s="126"/>
      <c r="AJ62" s="126"/>
      <c r="AK62" s="544"/>
      <c r="AL62" s="545"/>
      <c r="AM62" s="88"/>
      <c r="AP62" s="130"/>
      <c r="AQ62" s="89"/>
    </row>
    <row r="63" spans="1:43" ht="13.15" customHeight="1" x14ac:dyDescent="0.2">
      <c r="A63" s="178" t="s">
        <v>282</v>
      </c>
      <c r="B63" s="374"/>
      <c r="C63" s="23"/>
      <c r="D63" s="22"/>
      <c r="E63" s="155"/>
      <c r="F63" s="80"/>
      <c r="G63" s="80"/>
      <c r="H63" s="80"/>
      <c r="I63" s="80"/>
      <c r="J63" s="80"/>
      <c r="K63" s="80"/>
      <c r="L63" s="80"/>
      <c r="M63" s="80"/>
      <c r="N63" s="80"/>
      <c r="O63" s="80"/>
      <c r="P63" s="80"/>
      <c r="Q63" s="80"/>
      <c r="R63" s="80"/>
      <c r="S63" s="94"/>
      <c r="T63" s="95"/>
      <c r="U63" s="96"/>
      <c r="V63" s="21"/>
      <c r="W63" s="132"/>
      <c r="X63" s="94"/>
      <c r="Y63" s="95"/>
      <c r="Z63" s="95"/>
      <c r="AA63" s="95"/>
      <c r="AB63" s="95"/>
      <c r="AC63" s="95"/>
      <c r="AD63" s="133"/>
      <c r="AE63" s="134"/>
      <c r="AF63" s="95"/>
      <c r="AG63" s="95"/>
      <c r="AH63" s="133"/>
      <c r="AI63" s="135"/>
      <c r="AJ63" s="135"/>
      <c r="AK63" s="134"/>
      <c r="AL63" s="131"/>
      <c r="AM63" s="95"/>
      <c r="AN63" s="95"/>
      <c r="AO63" s="95"/>
      <c r="AP63" s="131"/>
      <c r="AQ63" s="89"/>
    </row>
    <row r="64" spans="1:43" ht="13.15" customHeight="1" x14ac:dyDescent="0.2">
      <c r="A64" s="741" t="s">
        <v>622</v>
      </c>
      <c r="B64" s="742"/>
      <c r="C64" s="689"/>
      <c r="D64" s="689"/>
      <c r="E64" s="689"/>
      <c r="F64" s="689"/>
      <c r="G64" s="689"/>
      <c r="H64" s="689"/>
      <c r="I64" s="689"/>
      <c r="J64" s="689"/>
      <c r="K64" s="689"/>
      <c r="L64" s="689"/>
      <c r="M64" s="689"/>
      <c r="N64" s="689"/>
      <c r="O64" s="689"/>
      <c r="P64" s="689"/>
      <c r="Q64" s="689"/>
      <c r="R64" s="743"/>
      <c r="S64" s="327" t="s">
        <v>479</v>
      </c>
      <c r="T64" s="91"/>
      <c r="U64" s="92"/>
      <c r="V64" s="21"/>
      <c r="AQ64" s="89"/>
    </row>
    <row r="65" spans="1:43" ht="13.15" customHeight="1" x14ac:dyDescent="0.2">
      <c r="A65" s="744"/>
      <c r="B65" s="692"/>
      <c r="C65" s="692"/>
      <c r="D65" s="692"/>
      <c r="E65" s="692"/>
      <c r="F65" s="692"/>
      <c r="G65" s="692"/>
      <c r="H65" s="692"/>
      <c r="I65" s="692"/>
      <c r="J65" s="692"/>
      <c r="K65" s="692"/>
      <c r="L65" s="692"/>
      <c r="M65" s="692"/>
      <c r="N65" s="692"/>
      <c r="O65" s="692"/>
      <c r="P65" s="692"/>
      <c r="Q65" s="692"/>
      <c r="R65" s="745"/>
      <c r="S65" s="93" t="s">
        <v>480</v>
      </c>
      <c r="U65" s="89"/>
      <c r="V65" s="21"/>
      <c r="AQ65" s="89"/>
    </row>
    <row r="66" spans="1:43" ht="13.15" customHeight="1" x14ac:dyDescent="0.2">
      <c r="A66" s="744"/>
      <c r="B66" s="692"/>
      <c r="C66" s="692"/>
      <c r="D66" s="692"/>
      <c r="E66" s="692"/>
      <c r="F66" s="692"/>
      <c r="G66" s="692"/>
      <c r="H66" s="692"/>
      <c r="I66" s="692"/>
      <c r="J66" s="692"/>
      <c r="K66" s="692"/>
      <c r="L66" s="692"/>
      <c r="M66" s="692"/>
      <c r="N66" s="692"/>
      <c r="O66" s="692"/>
      <c r="P66" s="692"/>
      <c r="Q66" s="692"/>
      <c r="R66" s="745"/>
      <c r="S66" s="93" t="s">
        <v>486</v>
      </c>
      <c r="U66" s="89"/>
      <c r="V66" s="21"/>
      <c r="AQ66" s="89"/>
    </row>
    <row r="67" spans="1:43" ht="13.15" customHeight="1" x14ac:dyDescent="0.2">
      <c r="A67" s="744"/>
      <c r="B67" s="692"/>
      <c r="C67" s="692"/>
      <c r="D67" s="692"/>
      <c r="E67" s="692"/>
      <c r="F67" s="692"/>
      <c r="G67" s="692"/>
      <c r="H67" s="692"/>
      <c r="I67" s="692"/>
      <c r="J67" s="692"/>
      <c r="K67" s="692"/>
      <c r="L67" s="692"/>
      <c r="M67" s="692"/>
      <c r="N67" s="692"/>
      <c r="O67" s="692"/>
      <c r="P67" s="692"/>
      <c r="Q67" s="692"/>
      <c r="R67" s="745"/>
      <c r="S67" s="93" t="s">
        <v>487</v>
      </c>
      <c r="U67" s="89"/>
      <c r="V67" s="21"/>
      <c r="AQ67" s="89"/>
    </row>
    <row r="68" spans="1:43" ht="13.15" customHeight="1" x14ac:dyDescent="0.2">
      <c r="A68" s="744"/>
      <c r="B68" s="692"/>
      <c r="C68" s="692"/>
      <c r="D68" s="692"/>
      <c r="E68" s="692"/>
      <c r="F68" s="692"/>
      <c r="G68" s="692"/>
      <c r="H68" s="692"/>
      <c r="I68" s="692"/>
      <c r="J68" s="692"/>
      <c r="K68" s="692"/>
      <c r="L68" s="692"/>
      <c r="M68" s="692"/>
      <c r="N68" s="692"/>
      <c r="O68" s="692"/>
      <c r="P68" s="692"/>
      <c r="Q68" s="692"/>
      <c r="R68" s="745"/>
      <c r="S68" s="93" t="s">
        <v>488</v>
      </c>
      <c r="U68" s="89"/>
      <c r="V68" s="21"/>
      <c r="AQ68" s="89"/>
    </row>
    <row r="69" spans="1:43" ht="13.15" customHeight="1" x14ac:dyDescent="0.2">
      <c r="A69" s="744"/>
      <c r="B69" s="692"/>
      <c r="C69" s="692"/>
      <c r="D69" s="692"/>
      <c r="E69" s="692"/>
      <c r="F69" s="692"/>
      <c r="G69" s="692"/>
      <c r="H69" s="692"/>
      <c r="I69" s="692"/>
      <c r="J69" s="692"/>
      <c r="K69" s="692"/>
      <c r="L69" s="692"/>
      <c r="M69" s="692"/>
      <c r="N69" s="692"/>
      <c r="O69" s="692"/>
      <c r="P69" s="692"/>
      <c r="Q69" s="692"/>
      <c r="R69" s="745"/>
      <c r="S69" s="60" t="s">
        <v>499</v>
      </c>
      <c r="U69" s="89"/>
      <c r="V69" s="21"/>
      <c r="AQ69" s="89"/>
    </row>
    <row r="70" spans="1:43" ht="13.15" customHeight="1" x14ac:dyDescent="0.2">
      <c r="A70" s="622" t="s">
        <v>535</v>
      </c>
      <c r="B70" s="623"/>
      <c r="C70" s="623"/>
      <c r="D70" s="623"/>
      <c r="E70" s="623"/>
      <c r="F70" s="623"/>
      <c r="G70" s="623"/>
      <c r="H70" s="623"/>
      <c r="I70" s="623"/>
      <c r="J70" s="623"/>
      <c r="K70" s="623"/>
      <c r="L70" s="623"/>
      <c r="M70" s="623"/>
      <c r="N70" s="623"/>
      <c r="O70" s="623"/>
      <c r="P70" s="623"/>
      <c r="Q70" s="623"/>
      <c r="R70" s="623"/>
      <c r="S70" s="93" t="s">
        <v>498</v>
      </c>
      <c r="U70" s="89"/>
      <c r="V70" s="21"/>
      <c r="AQ70" s="89"/>
    </row>
    <row r="71" spans="1:43" ht="13.15" customHeight="1" x14ac:dyDescent="0.2">
      <c r="A71" s="19" t="s">
        <v>260</v>
      </c>
      <c r="B71" s="435"/>
      <c r="C71" s="583" t="s">
        <v>269</v>
      </c>
      <c r="D71" s="602"/>
      <c r="E71" s="602"/>
      <c r="F71" s="602"/>
      <c r="G71" s="602"/>
      <c r="H71" s="602"/>
      <c r="I71" s="602"/>
      <c r="J71" s="602"/>
      <c r="K71" s="602"/>
      <c r="L71" s="602"/>
      <c r="M71" s="602"/>
      <c r="N71" s="602"/>
      <c r="O71" s="602"/>
      <c r="P71" s="602"/>
      <c r="Q71" s="602"/>
      <c r="R71" s="602"/>
      <c r="S71" s="93" t="s">
        <v>489</v>
      </c>
      <c r="U71" s="89"/>
      <c r="V71" s="21"/>
      <c r="AQ71" s="89"/>
    </row>
    <row r="72" spans="1:43" ht="13.15" customHeight="1" x14ac:dyDescent="0.2">
      <c r="A72" s="375" t="s">
        <v>478</v>
      </c>
      <c r="B72" s="463"/>
      <c r="C72" s="587" t="s">
        <v>269</v>
      </c>
      <c r="D72" s="609"/>
      <c r="E72" s="609"/>
      <c r="F72" s="609"/>
      <c r="G72" s="609"/>
      <c r="H72" s="609"/>
      <c r="I72" s="609"/>
      <c r="J72" s="609"/>
      <c r="K72" s="609"/>
      <c r="L72" s="609"/>
      <c r="M72" s="609"/>
      <c r="N72" s="609"/>
      <c r="O72" s="609"/>
      <c r="P72" s="609"/>
      <c r="Q72" s="609"/>
      <c r="R72" s="609"/>
      <c r="S72" s="93" t="s">
        <v>490</v>
      </c>
      <c r="U72" s="89"/>
      <c r="V72" s="21"/>
      <c r="AQ72" s="89"/>
    </row>
    <row r="73" spans="1:43" ht="13.15" customHeight="1" x14ac:dyDescent="0.2">
      <c r="A73" s="19" t="s">
        <v>372</v>
      </c>
      <c r="B73" s="60"/>
      <c r="C73" s="583" t="s">
        <v>320</v>
      </c>
      <c r="D73" s="600"/>
      <c r="E73" s="600"/>
      <c r="F73" s="600"/>
      <c r="G73" s="600"/>
      <c r="H73" s="600"/>
      <c r="I73" s="600"/>
      <c r="J73" s="600"/>
      <c r="K73" s="600"/>
      <c r="L73" s="600"/>
      <c r="M73" s="600"/>
      <c r="N73" s="600"/>
      <c r="O73" s="600"/>
      <c r="P73" s="600"/>
      <c r="Q73" s="600"/>
      <c r="R73" s="600"/>
      <c r="S73" s="93" t="s">
        <v>491</v>
      </c>
      <c r="U73" s="89"/>
      <c r="V73" s="21"/>
      <c r="AQ73" s="89"/>
    </row>
    <row r="74" spans="1:43" ht="13.15" customHeight="1" x14ac:dyDescent="0.2">
      <c r="A74" s="19" t="s">
        <v>373</v>
      </c>
      <c r="B74" s="60"/>
      <c r="C74" s="610" t="s">
        <v>626</v>
      </c>
      <c r="D74" s="611"/>
      <c r="E74" s="611"/>
      <c r="F74" s="611"/>
      <c r="G74" s="611"/>
      <c r="H74" s="611"/>
      <c r="I74" s="611"/>
      <c r="J74" s="611"/>
      <c r="K74" s="611"/>
      <c r="L74" s="611"/>
      <c r="M74" s="611"/>
      <c r="N74" s="611"/>
      <c r="O74" s="611"/>
      <c r="P74" s="611"/>
      <c r="Q74" s="611"/>
      <c r="R74" s="612"/>
      <c r="S74" s="93" t="s">
        <v>492</v>
      </c>
      <c r="U74" s="89"/>
      <c r="V74" s="21"/>
      <c r="AQ74" s="89"/>
    </row>
    <row r="75" spans="1:43" ht="13.15" customHeight="1" x14ac:dyDescent="0.2">
      <c r="A75" s="19" t="s">
        <v>261</v>
      </c>
      <c r="B75" s="60"/>
      <c r="C75" s="610" t="s">
        <v>321</v>
      </c>
      <c r="D75" s="613"/>
      <c r="E75" s="613"/>
      <c r="F75" s="613"/>
      <c r="G75" s="613"/>
      <c r="H75" s="613"/>
      <c r="I75" s="613"/>
      <c r="J75" s="613"/>
      <c r="K75" s="613"/>
      <c r="L75" s="613"/>
      <c r="M75" s="613"/>
      <c r="N75" s="613"/>
      <c r="O75" s="613"/>
      <c r="P75" s="613"/>
      <c r="Q75" s="613"/>
      <c r="R75" s="614"/>
      <c r="S75" s="93" t="s">
        <v>493</v>
      </c>
      <c r="U75" s="89"/>
      <c r="V75" s="21"/>
      <c r="AQ75" s="89"/>
    </row>
    <row r="76" spans="1:43" ht="13.15" customHeight="1" x14ac:dyDescent="0.2">
      <c r="A76" s="19" t="s">
        <v>262</v>
      </c>
      <c r="B76" s="60"/>
      <c r="C76" s="583" t="s">
        <v>324</v>
      </c>
      <c r="D76" s="600"/>
      <c r="E76" s="600"/>
      <c r="F76" s="600"/>
      <c r="G76" s="600"/>
      <c r="H76" s="600"/>
      <c r="I76" s="600"/>
      <c r="J76" s="600"/>
      <c r="K76" s="600"/>
      <c r="L76" s="600"/>
      <c r="M76" s="600"/>
      <c r="N76" s="600"/>
      <c r="O76" s="600"/>
      <c r="P76" s="600"/>
      <c r="Q76" s="600"/>
      <c r="R76" s="600"/>
      <c r="S76" s="88"/>
      <c r="U76" s="89"/>
      <c r="V76" s="21"/>
      <c r="AQ76" s="89"/>
    </row>
    <row r="77" spans="1:43" ht="13.15" customHeight="1" x14ac:dyDescent="0.2">
      <c r="A77" s="19"/>
      <c r="B77" s="60"/>
      <c r="C77" s="583" t="s">
        <v>228</v>
      </c>
      <c r="D77" s="600"/>
      <c r="E77" s="600"/>
      <c r="F77" s="600"/>
      <c r="G77" s="600"/>
      <c r="H77" s="600"/>
      <c r="I77" s="600"/>
      <c r="J77" s="600"/>
      <c r="K77" s="600"/>
      <c r="L77" s="600"/>
      <c r="M77" s="600"/>
      <c r="N77" s="600"/>
      <c r="O77" s="600"/>
      <c r="P77" s="600"/>
      <c r="Q77" s="600"/>
      <c r="R77" s="600"/>
      <c r="S77" s="88"/>
      <c r="U77" s="89"/>
      <c r="V77" s="21"/>
      <c r="AQ77" s="89"/>
    </row>
    <row r="78" spans="1:43" ht="13.15" customHeight="1" thickBot="1" x14ac:dyDescent="0.25">
      <c r="A78" s="19"/>
      <c r="B78" s="60"/>
      <c r="C78" s="583" t="s">
        <v>270</v>
      </c>
      <c r="D78" s="602"/>
      <c r="E78" s="602"/>
      <c r="F78" s="602"/>
      <c r="G78" s="602"/>
      <c r="H78" s="602"/>
      <c r="I78" s="602"/>
      <c r="J78" s="602"/>
      <c r="K78" s="602"/>
      <c r="L78" s="602"/>
      <c r="M78" s="602"/>
      <c r="N78" s="602"/>
      <c r="O78" s="602"/>
      <c r="P78" s="602"/>
      <c r="Q78" s="602"/>
      <c r="R78" s="602"/>
      <c r="S78" s="326"/>
      <c r="T78" s="143"/>
      <c r="U78" s="144"/>
      <c r="V78" s="21"/>
      <c r="W78" s="143"/>
      <c r="X78" s="143"/>
      <c r="Y78" s="143"/>
      <c r="Z78" s="143"/>
      <c r="AA78" s="143"/>
      <c r="AB78" s="143"/>
      <c r="AC78" s="143"/>
      <c r="AD78" s="143"/>
      <c r="AE78" s="143"/>
      <c r="AF78" s="143"/>
      <c r="AG78" s="143"/>
      <c r="AH78" s="143"/>
      <c r="AI78" s="143"/>
      <c r="AJ78" s="143"/>
      <c r="AK78" s="143"/>
      <c r="AL78" s="143"/>
      <c r="AM78" s="143"/>
      <c r="AN78" s="143"/>
      <c r="AO78" s="143"/>
      <c r="AP78" s="143"/>
      <c r="AQ78" s="89"/>
    </row>
    <row r="79" spans="1:43" ht="13.15" customHeight="1" x14ac:dyDescent="0.2">
      <c r="A79" s="162" t="s">
        <v>209</v>
      </c>
      <c r="B79" s="464"/>
      <c r="C79" s="18" t="s">
        <v>208</v>
      </c>
      <c r="D79" s="16"/>
      <c r="E79" s="18" t="s">
        <v>207</v>
      </c>
      <c r="F79" s="18"/>
      <c r="G79" s="18" t="s">
        <v>206</v>
      </c>
      <c r="H79" s="17" t="e">
        <f>#REF!</f>
        <v>#REF!</v>
      </c>
      <c r="I79" s="16"/>
      <c r="J79" s="16"/>
      <c r="K79" s="16"/>
      <c r="L79" s="16"/>
      <c r="M79" s="16"/>
      <c r="N79" s="16"/>
      <c r="O79" s="16"/>
      <c r="P79" s="16"/>
      <c r="Q79" s="16"/>
      <c r="R79" s="16"/>
      <c r="S79" s="103"/>
      <c r="T79" s="103"/>
      <c r="U79" s="145"/>
      <c r="V79" s="162" t="s">
        <v>209</v>
      </c>
      <c r="W79" s="16"/>
      <c r="X79" s="163"/>
      <c r="Y79" s="18" t="s">
        <v>208</v>
      </c>
      <c r="Z79" s="16"/>
      <c r="AA79" s="18" t="s">
        <v>207</v>
      </c>
      <c r="AB79" s="18"/>
      <c r="AC79" s="18" t="s">
        <v>206</v>
      </c>
      <c r="AD79" s="17" t="e">
        <f>H79</f>
        <v>#REF!</v>
      </c>
      <c r="AE79" s="16"/>
      <c r="AF79" s="16"/>
      <c r="AG79" s="16"/>
      <c r="AH79" s="16"/>
      <c r="AI79" s="16"/>
      <c r="AJ79" s="16"/>
      <c r="AK79" s="16"/>
      <c r="AL79" s="16"/>
      <c r="AM79" s="16"/>
      <c r="AN79" s="103"/>
      <c r="AO79" s="103"/>
      <c r="AP79" s="103"/>
      <c r="AQ79" s="145"/>
    </row>
    <row r="80" spans="1:43" ht="13.15" customHeight="1" thickBot="1" x14ac:dyDescent="0.25">
      <c r="A80" s="159" t="e">
        <f>#REF!</f>
        <v>#REF!</v>
      </c>
      <c r="B80" s="175"/>
      <c r="C80" s="603" t="e">
        <f>#REF!</f>
        <v>#REF!</v>
      </c>
      <c r="D80" s="604"/>
      <c r="E80" s="605" t="e">
        <f>#REF!</f>
        <v>#REF!</v>
      </c>
      <c r="F80" s="606"/>
      <c r="G80" s="15"/>
      <c r="H80" s="14"/>
      <c r="I80" s="14"/>
      <c r="J80" s="14"/>
      <c r="K80" s="14"/>
      <c r="L80" s="14"/>
      <c r="M80" s="14"/>
      <c r="N80" s="14"/>
      <c r="O80" s="14"/>
      <c r="P80" s="14"/>
      <c r="Q80" s="14"/>
      <c r="R80" s="14"/>
      <c r="S80" s="143"/>
      <c r="T80" s="143"/>
      <c r="U80" s="144"/>
      <c r="V80" s="121"/>
      <c r="W80" s="14" t="e">
        <f>A80</f>
        <v>#REF!</v>
      </c>
      <c r="X80" s="164"/>
      <c r="Y80" s="603" t="e">
        <f>C80</f>
        <v>#REF!</v>
      </c>
      <c r="Z80" s="607"/>
      <c r="AA80" s="605" t="e">
        <f>E80</f>
        <v>#REF!</v>
      </c>
      <c r="AB80" s="608"/>
      <c r="AC80" s="15"/>
      <c r="AD80" s="14"/>
      <c r="AE80" s="14"/>
      <c r="AF80" s="14"/>
      <c r="AG80" s="14"/>
      <c r="AH80" s="14"/>
      <c r="AI80" s="14"/>
      <c r="AJ80" s="14"/>
      <c r="AK80" s="14"/>
      <c r="AL80" s="14"/>
      <c r="AM80" s="14"/>
      <c r="AN80" s="143"/>
      <c r="AO80" s="143"/>
      <c r="AP80" s="143"/>
      <c r="AQ80" s="144"/>
    </row>
  </sheetData>
  <mergeCells count="141">
    <mergeCell ref="J6:K6"/>
    <mergeCell ref="AF6:AG6"/>
    <mergeCell ref="AB7:AE7"/>
    <mergeCell ref="Q34:R34"/>
    <mergeCell ref="K21:N21"/>
    <mergeCell ref="Q21:R21"/>
    <mergeCell ref="K17:N18"/>
    <mergeCell ref="O17:O18"/>
    <mergeCell ref="E33:J33"/>
    <mergeCell ref="K33:N33"/>
    <mergeCell ref="Q33:R33"/>
    <mergeCell ref="P17:P18"/>
    <mergeCell ref="E26:J26"/>
    <mergeCell ref="K30:N30"/>
    <mergeCell ref="K31:N31"/>
    <mergeCell ref="Q31:R31"/>
    <mergeCell ref="Q30:R30"/>
    <mergeCell ref="E31:J31"/>
    <mergeCell ref="E22:J22"/>
    <mergeCell ref="Q24:R24"/>
    <mergeCell ref="S17:U18"/>
    <mergeCell ref="E19:J19"/>
    <mergeCell ref="K19:N19"/>
    <mergeCell ref="Q19:R19"/>
    <mergeCell ref="AE60:AH60"/>
    <mergeCell ref="AK60:AL60"/>
    <mergeCell ref="Q59:R59"/>
    <mergeCell ref="S55:U55"/>
    <mergeCell ref="AE57:AH57"/>
    <mergeCell ref="AK57:AL57"/>
    <mergeCell ref="W55:W56"/>
    <mergeCell ref="X55:AD56"/>
    <mergeCell ref="AE55:AH56"/>
    <mergeCell ref="AI55:AI56"/>
    <mergeCell ref="X57:AD57"/>
    <mergeCell ref="X59:AD59"/>
    <mergeCell ref="AE59:AH59"/>
    <mergeCell ref="AK59:AL59"/>
    <mergeCell ref="X60:AD60"/>
    <mergeCell ref="C80:D80"/>
    <mergeCell ref="E80:F80"/>
    <mergeCell ref="C71:R71"/>
    <mergeCell ref="C72:R72"/>
    <mergeCell ref="C73:R73"/>
    <mergeCell ref="C74:R74"/>
    <mergeCell ref="C77:R77"/>
    <mergeCell ref="AE61:AH61"/>
    <mergeCell ref="AK61:AL61"/>
    <mergeCell ref="AE62:AH62"/>
    <mergeCell ref="AK62:AL62"/>
    <mergeCell ref="AA80:AB80"/>
    <mergeCell ref="X39:AP39"/>
    <mergeCell ref="AM55:AP56"/>
    <mergeCell ref="Q53:R53"/>
    <mergeCell ref="E38:J38"/>
    <mergeCell ref="AJ55:AJ56"/>
    <mergeCell ref="AK55:AL56"/>
    <mergeCell ref="K55:N55"/>
    <mergeCell ref="E58:J58"/>
    <mergeCell ref="K58:N58"/>
    <mergeCell ref="Q58:R58"/>
    <mergeCell ref="E55:J55"/>
    <mergeCell ref="E53:J53"/>
    <mergeCell ref="S39:U40"/>
    <mergeCell ref="K38:N38"/>
    <mergeCell ref="Q55:R55"/>
    <mergeCell ref="X58:AD58"/>
    <mergeCell ref="AE58:AH58"/>
    <mergeCell ref="AK58:AL58"/>
    <mergeCell ref="K24:N24"/>
    <mergeCell ref="K51:N51"/>
    <mergeCell ref="K53:N53"/>
    <mergeCell ref="Q36:R36"/>
    <mergeCell ref="Q39:R39"/>
    <mergeCell ref="K40:N40"/>
    <mergeCell ref="Q40:R40"/>
    <mergeCell ref="Q38:R38"/>
    <mergeCell ref="K29:N29"/>
    <mergeCell ref="K37:N37"/>
    <mergeCell ref="Q37:R37"/>
    <mergeCell ref="E35:J35"/>
    <mergeCell ref="K35:N35"/>
    <mergeCell ref="E45:J45"/>
    <mergeCell ref="Q51:R51"/>
    <mergeCell ref="E51:J51"/>
    <mergeCell ref="Y7:Z7"/>
    <mergeCell ref="F7:I7"/>
    <mergeCell ref="Y80:Z80"/>
    <mergeCell ref="E59:J59"/>
    <mergeCell ref="K59:N59"/>
    <mergeCell ref="E60:J60"/>
    <mergeCell ref="Q60:R60"/>
    <mergeCell ref="A64:R69"/>
    <mergeCell ref="C76:R76"/>
    <mergeCell ref="C75:R75"/>
    <mergeCell ref="K60:N60"/>
    <mergeCell ref="A70:R70"/>
    <mergeCell ref="X61:AD61"/>
    <mergeCell ref="K26:N26"/>
    <mergeCell ref="Q26:R26"/>
    <mergeCell ref="Q25:R25"/>
    <mergeCell ref="Q29:R29"/>
    <mergeCell ref="C78:R78"/>
    <mergeCell ref="K25:N25"/>
    <mergeCell ref="E25:J25"/>
    <mergeCell ref="E36:J36"/>
    <mergeCell ref="E48:J48"/>
    <mergeCell ref="K48:N48"/>
    <mergeCell ref="K34:N34"/>
    <mergeCell ref="X18:AP18"/>
    <mergeCell ref="Q48:R48"/>
    <mergeCell ref="K39:N39"/>
    <mergeCell ref="Q35:R35"/>
    <mergeCell ref="Q45:R45"/>
    <mergeCell ref="Q42:R42"/>
    <mergeCell ref="E30:J30"/>
    <mergeCell ref="E40:J40"/>
    <mergeCell ref="S29:S38"/>
    <mergeCell ref="E24:J24"/>
    <mergeCell ref="E29:J29"/>
    <mergeCell ref="E42:J42"/>
    <mergeCell ref="K42:N42"/>
    <mergeCell ref="E39:J39"/>
    <mergeCell ref="V19:V37"/>
    <mergeCell ref="K45:N45"/>
    <mergeCell ref="K36:N36"/>
    <mergeCell ref="E34:J34"/>
    <mergeCell ref="E37:J37"/>
    <mergeCell ref="C7:D7"/>
    <mergeCell ref="C11:N11"/>
    <mergeCell ref="Q17:R18"/>
    <mergeCell ref="K22:N22"/>
    <mergeCell ref="Q22:R22"/>
    <mergeCell ref="C17:D17"/>
    <mergeCell ref="E17:J18"/>
    <mergeCell ref="E20:J20"/>
    <mergeCell ref="K20:N20"/>
    <mergeCell ref="Q20:R20"/>
    <mergeCell ref="E21:J21"/>
    <mergeCell ref="O10:U12"/>
    <mergeCell ref="O15:U16"/>
  </mergeCells>
  <pageMargins left="0.70866141732283472" right="0.15748031496062992" top="0.51181102362204722" bottom="0.43307086614173229" header="0.27559055118110237" footer="0.27559055118110237"/>
  <pageSetup paperSize="9" scale="75" pageOrder="overThenDown" orientation="portrait" r:id="rId1"/>
  <headerFooter alignWithMargins="0">
    <oddHeader>&amp;LPIRS Vorlagen-Projekt&amp;C&amp;8Project: Template&amp;R&amp;G</oddHeader>
    <oddFooter xml:space="preserve">&amp;L&amp;8 &amp;F _&amp;A&amp;R&amp;8Page &amp;P+8 of [&amp;N+8] </oddFoot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0380B-8C77-411A-821C-7FE05C2456BC}">
  <sheetPr codeName="Tabelle31"/>
  <dimension ref="A1:AQ80"/>
  <sheetViews>
    <sheetView showWhiteSpace="0" view="pageLayout" zoomScaleNormal="100" workbookViewId="0">
      <selection activeCell="AL2" sqref="AL2:AL4"/>
    </sheetView>
  </sheetViews>
  <sheetFormatPr defaultColWidth="0" defaultRowHeight="12.75" x14ac:dyDescent="0.2"/>
  <cols>
    <col min="1" max="1" width="14.28515625" style="13" customWidth="1"/>
    <col min="2" max="2" width="3.5703125" style="13" customWidth="1"/>
    <col min="3" max="21" width="5.7109375" style="13" customWidth="1"/>
    <col min="22" max="22" width="4.140625" style="13" customWidth="1"/>
    <col min="23" max="23" width="6.140625" style="13" customWidth="1"/>
    <col min="24" max="42" width="5.7109375" style="13" customWidth="1"/>
    <col min="43" max="59" width="6.140625" style="13" customWidth="1"/>
    <col min="60" max="16384" width="0" style="13" hidden="1"/>
  </cols>
  <sheetData>
    <row r="1" spans="1:43" ht="13.15" customHeight="1" x14ac:dyDescent="0.2">
      <c r="A1" s="73"/>
      <c r="B1" s="72"/>
      <c r="C1" s="72"/>
      <c r="D1" s="71"/>
      <c r="E1" s="16"/>
      <c r="F1" s="16"/>
      <c r="G1" s="16"/>
      <c r="H1" s="16"/>
      <c r="I1" s="16"/>
      <c r="J1" s="16"/>
      <c r="K1" s="114" t="s">
        <v>253</v>
      </c>
      <c r="L1" s="116"/>
      <c r="M1" s="70"/>
      <c r="N1" s="16"/>
      <c r="O1" s="16"/>
      <c r="P1" s="16" t="s">
        <v>716</v>
      </c>
      <c r="Q1" s="69"/>
      <c r="R1" s="68" t="s">
        <v>230</v>
      </c>
      <c r="S1" s="68"/>
      <c r="T1" s="67" t="s">
        <v>343</v>
      </c>
      <c r="U1" s="66"/>
      <c r="V1" s="162"/>
      <c r="W1" s="16"/>
      <c r="X1" s="72"/>
      <c r="Y1" s="72"/>
      <c r="Z1" s="71"/>
      <c r="AA1" s="16"/>
      <c r="AB1" s="16"/>
      <c r="AC1" s="16"/>
      <c r="AD1" s="16"/>
      <c r="AE1" s="16"/>
      <c r="AF1" s="231"/>
      <c r="AG1" s="230" t="s">
        <v>253</v>
      </c>
      <c r="AH1" s="116"/>
      <c r="AI1" s="70"/>
      <c r="AJ1" s="16"/>
      <c r="AK1" s="16"/>
      <c r="AL1" s="16" t="str">
        <f>P1</f>
        <v>PT08</v>
      </c>
      <c r="AM1" s="69"/>
      <c r="AN1" s="68" t="s">
        <v>230</v>
      </c>
      <c r="AO1" s="68"/>
      <c r="AP1" s="67" t="str">
        <f>T1</f>
        <v>3E0 (1.0345)</v>
      </c>
      <c r="AQ1" s="66"/>
    </row>
    <row r="2" spans="1:43" ht="13.15" customHeight="1" x14ac:dyDescent="0.2">
      <c r="A2" s="63" t="s">
        <v>276</v>
      </c>
      <c r="B2" s="61"/>
      <c r="C2" s="62" t="s">
        <v>289</v>
      </c>
      <c r="D2" s="61"/>
      <c r="E2" s="60"/>
      <c r="F2" s="60"/>
      <c r="G2" s="60"/>
      <c r="H2" s="60"/>
      <c r="I2" s="60"/>
      <c r="J2" s="59"/>
      <c r="K2" s="100" t="s">
        <v>232</v>
      </c>
      <c r="L2" s="74"/>
      <c r="M2" s="81"/>
      <c r="N2" s="65"/>
      <c r="O2" s="65"/>
      <c r="P2" s="523">
        <v>84.3</v>
      </c>
      <c r="Q2" s="58" t="s">
        <v>231</v>
      </c>
      <c r="R2" s="65" t="s">
        <v>252</v>
      </c>
      <c r="S2" s="65"/>
      <c r="T2" s="81" t="s">
        <v>459</v>
      </c>
      <c r="U2" s="64"/>
      <c r="V2" s="19" t="s">
        <v>276</v>
      </c>
      <c r="W2" s="60"/>
      <c r="X2" s="61"/>
      <c r="Y2" s="62" t="str">
        <f>C2</f>
        <v>Feedwater Tapping (T ≥ 100°C ÷ T ≤ 200°C)</v>
      </c>
      <c r="Z2" s="61"/>
      <c r="AA2" s="60"/>
      <c r="AB2" s="60"/>
      <c r="AC2" s="60"/>
      <c r="AD2" s="60"/>
      <c r="AE2" s="60"/>
      <c r="AF2" s="130"/>
      <c r="AG2" s="81" t="s">
        <v>232</v>
      </c>
      <c r="AH2" s="74"/>
      <c r="AI2" s="81"/>
      <c r="AJ2" s="65"/>
      <c r="AK2" s="65"/>
      <c r="AL2" s="523">
        <f>P2</f>
        <v>84.3</v>
      </c>
      <c r="AM2" s="58" t="s">
        <v>231</v>
      </c>
      <c r="AN2" s="65" t="s">
        <v>252</v>
      </c>
      <c r="AO2" s="65"/>
      <c r="AP2" s="115" t="str">
        <f>T2</f>
        <v>EN PN100</v>
      </c>
      <c r="AQ2" s="64"/>
    </row>
    <row r="3" spans="1:43" ht="13.15" customHeight="1" x14ac:dyDescent="0.2">
      <c r="A3" s="63"/>
      <c r="B3" s="61"/>
      <c r="C3" s="62"/>
      <c r="D3" s="61"/>
      <c r="E3" s="60"/>
      <c r="F3" s="60"/>
      <c r="G3" s="60"/>
      <c r="H3" s="60"/>
      <c r="I3" s="60"/>
      <c r="J3" s="59"/>
      <c r="K3" s="100" t="s">
        <v>233</v>
      </c>
      <c r="L3" s="75"/>
      <c r="M3" s="101"/>
      <c r="N3" s="65"/>
      <c r="O3" s="65"/>
      <c r="P3" s="523">
        <v>200</v>
      </c>
      <c r="Q3" s="58" t="s">
        <v>223</v>
      </c>
      <c r="R3" s="76" t="s">
        <v>229</v>
      </c>
      <c r="S3" s="77"/>
      <c r="T3" s="81" t="s">
        <v>227</v>
      </c>
      <c r="U3" s="57"/>
      <c r="V3" s="51"/>
      <c r="W3" s="80"/>
      <c r="X3" s="61"/>
      <c r="Y3" s="62"/>
      <c r="Z3" s="61"/>
      <c r="AA3" s="60"/>
      <c r="AB3" s="60"/>
      <c r="AC3" s="60"/>
      <c r="AD3" s="60"/>
      <c r="AE3" s="60"/>
      <c r="AF3" s="130"/>
      <c r="AG3" s="81" t="s">
        <v>233</v>
      </c>
      <c r="AH3" s="75"/>
      <c r="AI3" s="101"/>
      <c r="AJ3" s="65"/>
      <c r="AK3" s="65"/>
      <c r="AL3" s="523">
        <f>P3</f>
        <v>200</v>
      </c>
      <c r="AM3" s="58" t="s">
        <v>223</v>
      </c>
      <c r="AN3" s="76" t="s">
        <v>229</v>
      </c>
      <c r="AO3" s="77"/>
      <c r="AP3" s="81" t="str">
        <f>T3</f>
        <v>seamless</v>
      </c>
      <c r="AQ3" s="57"/>
    </row>
    <row r="4" spans="1:43" ht="13.15" customHeight="1" thickBot="1" x14ac:dyDescent="0.25">
      <c r="A4" s="56"/>
      <c r="B4" s="55"/>
      <c r="C4" s="55"/>
      <c r="D4" s="54"/>
      <c r="E4" s="53"/>
      <c r="F4" s="53"/>
      <c r="G4" s="53"/>
      <c r="H4" s="14"/>
      <c r="I4" s="14"/>
      <c r="J4" s="52"/>
      <c r="K4" s="60" t="s">
        <v>226</v>
      </c>
      <c r="L4" s="81"/>
      <c r="M4" s="102"/>
      <c r="N4" s="60"/>
      <c r="O4" s="60"/>
      <c r="P4" s="524">
        <v>137.80000000000001</v>
      </c>
      <c r="Q4" s="58" t="s">
        <v>235</v>
      </c>
      <c r="R4" s="82" t="s">
        <v>234</v>
      </c>
      <c r="S4" s="83"/>
      <c r="T4" s="113" t="s">
        <v>629</v>
      </c>
      <c r="U4" s="79"/>
      <c r="V4" s="119"/>
      <c r="W4" s="166"/>
      <c r="X4" s="55"/>
      <c r="Y4" s="55"/>
      <c r="Z4" s="54"/>
      <c r="AA4" s="53"/>
      <c r="AB4" s="53"/>
      <c r="AC4" s="53"/>
      <c r="AD4" s="14"/>
      <c r="AE4" s="14"/>
      <c r="AF4" s="232"/>
      <c r="AG4" s="60" t="s">
        <v>226</v>
      </c>
      <c r="AH4" s="81"/>
      <c r="AI4" s="102"/>
      <c r="AJ4" s="60"/>
      <c r="AK4" s="60"/>
      <c r="AL4" s="525">
        <f>P4</f>
        <v>137.80000000000001</v>
      </c>
      <c r="AM4" s="58" t="s">
        <v>235</v>
      </c>
      <c r="AN4" s="82" t="s">
        <v>234</v>
      </c>
      <c r="AO4" s="83"/>
      <c r="AP4" s="113" t="str">
        <f>T4</f>
        <v>ECHA</v>
      </c>
      <c r="AQ4" s="79"/>
    </row>
    <row r="5" spans="1:43" ht="13.15" customHeight="1" x14ac:dyDescent="0.2">
      <c r="A5" s="51" t="s">
        <v>225</v>
      </c>
      <c r="B5" s="80"/>
      <c r="C5" s="50" t="s">
        <v>224</v>
      </c>
      <c r="D5" s="49" t="s">
        <v>223</v>
      </c>
      <c r="E5" s="48"/>
      <c r="F5" s="47" t="s">
        <v>303</v>
      </c>
      <c r="G5" s="47">
        <v>100</v>
      </c>
      <c r="H5" s="47">
        <v>150</v>
      </c>
      <c r="I5" s="197">
        <v>200</v>
      </c>
      <c r="J5" s="48"/>
      <c r="K5" s="196"/>
      <c r="L5" s="196"/>
      <c r="M5" s="47"/>
      <c r="N5" s="47"/>
      <c r="O5" s="47"/>
      <c r="P5" s="47"/>
      <c r="Q5" s="47"/>
      <c r="R5" s="104"/>
      <c r="S5" s="107"/>
      <c r="T5" s="107"/>
      <c r="U5" s="105"/>
      <c r="V5" s="51" t="s">
        <v>225</v>
      </c>
      <c r="W5" s="80"/>
      <c r="X5" s="80"/>
      <c r="Y5" s="50" t="s">
        <v>224</v>
      </c>
      <c r="Z5" s="49" t="s">
        <v>223</v>
      </c>
      <c r="AA5" s="48"/>
      <c r="AB5" s="47" t="s">
        <v>303</v>
      </c>
      <c r="AC5" s="47">
        <v>100</v>
      </c>
      <c r="AD5" s="47">
        <v>150</v>
      </c>
      <c r="AE5" s="197">
        <v>200</v>
      </c>
      <c r="AF5" s="48"/>
      <c r="AG5" s="196"/>
      <c r="AH5" s="196"/>
      <c r="AI5" s="47"/>
      <c r="AJ5" s="47"/>
      <c r="AK5" s="47"/>
      <c r="AL5" s="47"/>
      <c r="AM5" s="47"/>
      <c r="AN5" s="104"/>
      <c r="AO5" s="107"/>
      <c r="AP5" s="107"/>
      <c r="AQ5" s="105"/>
    </row>
    <row r="6" spans="1:43" ht="20.25" customHeight="1" x14ac:dyDescent="0.2">
      <c r="A6" s="51"/>
      <c r="B6" s="80"/>
      <c r="C6" s="185" t="s">
        <v>285</v>
      </c>
      <c r="D6" s="186" t="s">
        <v>235</v>
      </c>
      <c r="E6" s="187" t="s">
        <v>502</v>
      </c>
      <c r="F6" s="218">
        <v>100</v>
      </c>
      <c r="G6" s="381" t="s">
        <v>588</v>
      </c>
      <c r="H6" s="398" t="s">
        <v>589</v>
      </c>
      <c r="I6" s="397" t="s">
        <v>590</v>
      </c>
      <c r="J6" s="686" t="s">
        <v>555</v>
      </c>
      <c r="K6" s="687"/>
      <c r="L6" s="199"/>
      <c r="M6" s="188"/>
      <c r="N6" s="188"/>
      <c r="O6" s="188"/>
      <c r="P6" s="188"/>
      <c r="Q6" s="188"/>
      <c r="R6" s="189"/>
      <c r="S6" s="190"/>
      <c r="T6" s="190"/>
      <c r="U6" s="191"/>
      <c r="V6" s="21"/>
      <c r="X6" s="80"/>
      <c r="Y6" s="185" t="s">
        <v>285</v>
      </c>
      <c r="Z6" s="186" t="s">
        <v>235</v>
      </c>
      <c r="AA6" s="187" t="s">
        <v>502</v>
      </c>
      <c r="AB6" s="218">
        <v>100</v>
      </c>
      <c r="AC6" s="381" t="s">
        <v>588</v>
      </c>
      <c r="AD6" s="398" t="s">
        <v>589</v>
      </c>
      <c r="AE6" s="397" t="s">
        <v>590</v>
      </c>
      <c r="AF6" s="686" t="s">
        <v>555</v>
      </c>
      <c r="AG6" s="687"/>
      <c r="AH6" s="199"/>
      <c r="AI6" s="188"/>
      <c r="AJ6" s="188"/>
      <c r="AK6" s="188"/>
      <c r="AL6" s="188"/>
      <c r="AM6" s="188"/>
      <c r="AN6" s="189"/>
      <c r="AO6" s="190"/>
      <c r="AP6" s="190"/>
      <c r="AQ6" s="191"/>
    </row>
    <row r="7" spans="1:43" ht="12.75" customHeight="1" thickBot="1" x14ac:dyDescent="0.25">
      <c r="A7" s="46"/>
      <c r="B7" s="120"/>
      <c r="C7" s="671" t="s">
        <v>284</v>
      </c>
      <c r="D7" s="672"/>
      <c r="E7" s="45"/>
      <c r="F7" s="836" t="s">
        <v>286</v>
      </c>
      <c r="G7" s="674"/>
      <c r="H7" s="674"/>
      <c r="I7" s="837"/>
      <c r="J7" s="257"/>
      <c r="K7" s="213"/>
      <c r="L7" s="201"/>
      <c r="M7" s="201"/>
      <c r="N7" s="201"/>
      <c r="O7" s="201"/>
      <c r="P7" s="201"/>
      <c r="Q7" s="201"/>
      <c r="R7" s="201"/>
      <c r="S7" s="202"/>
      <c r="T7" s="202"/>
      <c r="U7" s="106"/>
      <c r="V7" s="121"/>
      <c r="W7" s="143"/>
      <c r="X7" s="193"/>
      <c r="Y7" s="671" t="s">
        <v>284</v>
      </c>
      <c r="Z7" s="672"/>
      <c r="AA7" s="45"/>
      <c r="AB7" s="836" t="s">
        <v>286</v>
      </c>
      <c r="AC7" s="674"/>
      <c r="AD7" s="674"/>
      <c r="AE7" s="837"/>
      <c r="AF7" s="257"/>
      <c r="AG7" s="213"/>
      <c r="AH7" s="201"/>
      <c r="AI7" s="201"/>
      <c r="AJ7" s="201"/>
      <c r="AK7" s="201"/>
      <c r="AL7" s="201"/>
      <c r="AM7" s="201"/>
      <c r="AN7" s="201"/>
      <c r="AO7" s="202"/>
      <c r="AP7" s="202"/>
      <c r="AQ7" s="106"/>
    </row>
    <row r="8" spans="1:43" ht="13.15" customHeight="1" x14ac:dyDescent="0.2">
      <c r="A8" s="413" t="s">
        <v>633</v>
      </c>
      <c r="B8" s="158" t="s">
        <v>220</v>
      </c>
      <c r="C8" s="200">
        <v>15</v>
      </c>
      <c r="D8" s="38" t="s">
        <v>648</v>
      </c>
      <c r="E8" s="38">
        <v>25</v>
      </c>
      <c r="F8" s="38" t="s">
        <v>649</v>
      </c>
      <c r="G8" s="38">
        <v>40</v>
      </c>
      <c r="H8" s="38">
        <v>50</v>
      </c>
      <c r="I8" s="38" t="s">
        <v>299</v>
      </c>
      <c r="J8" s="38">
        <v>80</v>
      </c>
      <c r="K8" s="38">
        <v>100</v>
      </c>
      <c r="L8" s="38" t="s">
        <v>300</v>
      </c>
      <c r="M8" s="38">
        <v>150</v>
      </c>
      <c r="N8" s="38">
        <v>200</v>
      </c>
      <c r="O8" s="38">
        <v>250</v>
      </c>
      <c r="P8" s="38">
        <v>300</v>
      </c>
      <c r="Q8" s="38">
        <v>350</v>
      </c>
      <c r="R8" s="78">
        <v>400</v>
      </c>
      <c r="S8" s="38">
        <v>450</v>
      </c>
      <c r="T8" s="38">
        <v>500</v>
      </c>
      <c r="U8" s="37">
        <v>600</v>
      </c>
      <c r="V8" s="149"/>
      <c r="W8" s="167"/>
      <c r="X8" s="103"/>
      <c r="Y8" s="103"/>
      <c r="Z8" s="103"/>
      <c r="AA8" s="103"/>
      <c r="AB8" s="103"/>
      <c r="AC8" s="103"/>
      <c r="AD8" s="103"/>
      <c r="AE8" s="103"/>
      <c r="AF8" s="103"/>
      <c r="AG8" s="103"/>
      <c r="AH8" s="103"/>
      <c r="AI8" s="103"/>
      <c r="AJ8" s="103"/>
      <c r="AK8" s="103"/>
      <c r="AL8" s="103"/>
      <c r="AM8" s="103"/>
      <c r="AN8" s="103"/>
      <c r="AO8" s="103"/>
      <c r="AP8" s="103"/>
      <c r="AQ8" s="89"/>
    </row>
    <row r="9" spans="1:43" ht="13.15" customHeight="1" x14ac:dyDescent="0.2">
      <c r="A9" s="416" t="s">
        <v>634</v>
      </c>
      <c r="B9" s="293" t="s">
        <v>222</v>
      </c>
      <c r="C9" s="35">
        <v>21.3</v>
      </c>
      <c r="D9" s="42">
        <v>26.9</v>
      </c>
      <c r="E9" s="34">
        <v>33.700000000000003</v>
      </c>
      <c r="F9" s="34">
        <v>42.4</v>
      </c>
      <c r="G9" s="34">
        <v>48.3</v>
      </c>
      <c r="H9" s="34">
        <v>60.3</v>
      </c>
      <c r="I9" s="34">
        <v>76.099999999999994</v>
      </c>
      <c r="J9" s="34">
        <v>88.9</v>
      </c>
      <c r="K9" s="34">
        <v>114.3</v>
      </c>
      <c r="L9" s="34">
        <v>139.69999999999999</v>
      </c>
      <c r="M9" s="34">
        <v>168.3</v>
      </c>
      <c r="N9" s="34">
        <v>219.1</v>
      </c>
      <c r="O9" s="34">
        <v>273</v>
      </c>
      <c r="P9" s="34">
        <v>323.89999999999998</v>
      </c>
      <c r="Q9" s="34">
        <v>355.6</v>
      </c>
      <c r="R9" s="34">
        <v>406.4</v>
      </c>
      <c r="S9" s="34">
        <v>457</v>
      </c>
      <c r="T9" s="34">
        <v>508</v>
      </c>
      <c r="U9" s="41">
        <v>610</v>
      </c>
      <c r="V9" s="152"/>
      <c r="W9" s="168"/>
      <c r="AQ9" s="89"/>
    </row>
    <row r="10" spans="1:43" ht="13.15" customHeight="1" x14ac:dyDescent="0.2">
      <c r="A10" s="417" t="s">
        <v>635</v>
      </c>
      <c r="B10" s="294" t="s">
        <v>222</v>
      </c>
      <c r="C10" s="240">
        <v>2.6</v>
      </c>
      <c r="D10" s="33"/>
      <c r="E10" s="239">
        <v>2.6</v>
      </c>
      <c r="F10" s="239"/>
      <c r="G10" s="239">
        <v>3.2</v>
      </c>
      <c r="H10" s="239">
        <v>3.6</v>
      </c>
      <c r="I10" s="239">
        <v>5</v>
      </c>
      <c r="J10" s="239">
        <v>5</v>
      </c>
      <c r="K10" s="239">
        <v>6.3</v>
      </c>
      <c r="L10" s="239">
        <v>8</v>
      </c>
      <c r="M10" s="239">
        <v>8.8000000000000007</v>
      </c>
      <c r="N10" s="239">
        <v>11</v>
      </c>
      <c r="O10" s="839" t="s">
        <v>268</v>
      </c>
      <c r="P10" s="840"/>
      <c r="Q10" s="840"/>
      <c r="R10" s="840"/>
      <c r="S10" s="840"/>
      <c r="T10" s="840"/>
      <c r="U10" s="841"/>
      <c r="V10" s="152"/>
      <c r="W10" s="169"/>
      <c r="AQ10" s="89"/>
    </row>
    <row r="11" spans="1:43" ht="13.15" customHeight="1" x14ac:dyDescent="0.2">
      <c r="A11" s="84" t="s">
        <v>636</v>
      </c>
      <c r="B11" s="295" t="s">
        <v>236</v>
      </c>
      <c r="C11" s="736" t="s">
        <v>302</v>
      </c>
      <c r="D11" s="737"/>
      <c r="E11" s="737"/>
      <c r="F11" s="737"/>
      <c r="G11" s="737"/>
      <c r="H11" s="737"/>
      <c r="I11" s="737"/>
      <c r="J11" s="737"/>
      <c r="K11" s="737"/>
      <c r="L11" s="737"/>
      <c r="M11" s="737"/>
      <c r="N11" s="808"/>
      <c r="O11" s="628"/>
      <c r="P11" s="586"/>
      <c r="Q11" s="586"/>
      <c r="R11" s="586"/>
      <c r="S11" s="586"/>
      <c r="T11" s="586"/>
      <c r="U11" s="842"/>
      <c r="V11" s="152"/>
      <c r="W11" s="161"/>
      <c r="AQ11" s="89"/>
    </row>
    <row r="12" spans="1:43" ht="13.15" customHeight="1" thickBot="1" x14ac:dyDescent="0.25">
      <c r="A12" s="419" t="s">
        <v>637</v>
      </c>
      <c r="B12" s="296" t="s">
        <v>222</v>
      </c>
      <c r="C12" s="40">
        <f>C9-2*C10</f>
        <v>16.100000000000001</v>
      </c>
      <c r="D12" s="32"/>
      <c r="E12" s="39">
        <f>E9-2*E10</f>
        <v>28.500000000000004</v>
      </c>
      <c r="F12" s="39"/>
      <c r="G12" s="39">
        <f t="shared" ref="G12:N12" si="0">G9-2*G10</f>
        <v>41.9</v>
      </c>
      <c r="H12" s="39">
        <f t="shared" si="0"/>
        <v>53.099999999999994</v>
      </c>
      <c r="I12" s="39">
        <f t="shared" si="0"/>
        <v>66.099999999999994</v>
      </c>
      <c r="J12" s="39">
        <f t="shared" si="0"/>
        <v>78.900000000000006</v>
      </c>
      <c r="K12" s="39">
        <f t="shared" si="0"/>
        <v>101.7</v>
      </c>
      <c r="L12" s="39">
        <f t="shared" si="0"/>
        <v>123.69999999999999</v>
      </c>
      <c r="M12" s="39">
        <f t="shared" si="0"/>
        <v>150.70000000000002</v>
      </c>
      <c r="N12" s="39">
        <f t="shared" si="0"/>
        <v>197.1</v>
      </c>
      <c r="O12" s="843"/>
      <c r="P12" s="844"/>
      <c r="Q12" s="844"/>
      <c r="R12" s="844"/>
      <c r="S12" s="844"/>
      <c r="T12" s="844"/>
      <c r="U12" s="845"/>
      <c r="V12" s="152"/>
      <c r="W12" s="170"/>
      <c r="AQ12" s="89"/>
    </row>
    <row r="13" spans="1:43" ht="13.15" customHeight="1" x14ac:dyDescent="0.2">
      <c r="A13" s="413" t="s">
        <v>638</v>
      </c>
      <c r="B13" s="158" t="s">
        <v>220</v>
      </c>
      <c r="C13" s="200">
        <v>15</v>
      </c>
      <c r="D13" s="38" t="s">
        <v>648</v>
      </c>
      <c r="E13" s="38">
        <v>25</v>
      </c>
      <c r="F13" s="38" t="s">
        <v>649</v>
      </c>
      <c r="G13" s="43">
        <v>40</v>
      </c>
      <c r="H13" s="43">
        <v>50</v>
      </c>
      <c r="I13" s="38" t="s">
        <v>299</v>
      </c>
      <c r="J13" s="43">
        <v>80</v>
      </c>
      <c r="K13" s="43">
        <v>100</v>
      </c>
      <c r="L13" s="43" t="s">
        <v>300</v>
      </c>
      <c r="M13" s="43">
        <v>150</v>
      </c>
      <c r="N13" s="43">
        <v>200</v>
      </c>
      <c r="O13" s="43">
        <v>250</v>
      </c>
      <c r="P13" s="43">
        <v>300</v>
      </c>
      <c r="Q13" s="43">
        <v>350</v>
      </c>
      <c r="R13" s="78">
        <v>400</v>
      </c>
      <c r="S13" s="38">
        <v>450</v>
      </c>
      <c r="T13" s="38">
        <v>500</v>
      </c>
      <c r="U13" s="37">
        <v>600</v>
      </c>
      <c r="V13" s="154"/>
      <c r="W13" s="171"/>
      <c r="AQ13" s="89"/>
    </row>
    <row r="14" spans="1:43" ht="13.15" customHeight="1" x14ac:dyDescent="0.2">
      <c r="A14" s="416" t="s">
        <v>639</v>
      </c>
      <c r="B14" s="297" t="s">
        <v>222</v>
      </c>
      <c r="C14" s="35">
        <v>21.3</v>
      </c>
      <c r="D14" s="34">
        <v>26.9</v>
      </c>
      <c r="E14" s="34">
        <v>33.700000000000003</v>
      </c>
      <c r="F14" s="34">
        <v>42.4</v>
      </c>
      <c r="G14" s="34">
        <v>48.3</v>
      </c>
      <c r="H14" s="34">
        <v>60.3</v>
      </c>
      <c r="I14" s="34">
        <v>76.099999999999994</v>
      </c>
      <c r="J14" s="34">
        <v>88.9</v>
      </c>
      <c r="K14" s="34">
        <v>114.3</v>
      </c>
      <c r="L14" s="34">
        <v>139.69999999999999</v>
      </c>
      <c r="M14" s="34">
        <v>168.3</v>
      </c>
      <c r="N14" s="34">
        <v>219.1</v>
      </c>
      <c r="O14" s="34">
        <v>273</v>
      </c>
      <c r="P14" s="34">
        <v>323.89999999999998</v>
      </c>
      <c r="Q14" s="34">
        <v>355.6</v>
      </c>
      <c r="R14" s="34">
        <v>406.4</v>
      </c>
      <c r="S14" s="34">
        <v>457</v>
      </c>
      <c r="T14" s="34">
        <v>508</v>
      </c>
      <c r="U14" s="41">
        <v>610</v>
      </c>
      <c r="V14" s="152"/>
      <c r="W14" s="168"/>
      <c r="AQ14" s="89"/>
    </row>
    <row r="15" spans="1:43" ht="13.15" customHeight="1" x14ac:dyDescent="0.2">
      <c r="A15" s="417" t="s">
        <v>640</v>
      </c>
      <c r="B15" s="294" t="s">
        <v>222</v>
      </c>
      <c r="C15" s="238">
        <v>2.6</v>
      </c>
      <c r="D15" s="239">
        <v>2.6</v>
      </c>
      <c r="E15" s="239">
        <v>2.6</v>
      </c>
      <c r="F15" s="239">
        <v>2.6</v>
      </c>
      <c r="G15" s="239">
        <v>3.6</v>
      </c>
      <c r="H15" s="239">
        <v>3.6</v>
      </c>
      <c r="I15" s="239">
        <v>5.6</v>
      </c>
      <c r="J15" s="239">
        <v>5.6</v>
      </c>
      <c r="K15" s="239">
        <v>6.3</v>
      </c>
      <c r="L15" s="239">
        <v>10</v>
      </c>
      <c r="M15" s="239">
        <v>11</v>
      </c>
      <c r="N15" s="239">
        <v>12.5</v>
      </c>
      <c r="O15" s="846" t="s">
        <v>268</v>
      </c>
      <c r="P15" s="547"/>
      <c r="Q15" s="547"/>
      <c r="R15" s="547"/>
      <c r="S15" s="547"/>
      <c r="T15" s="547"/>
      <c r="U15" s="823"/>
      <c r="V15" s="152"/>
      <c r="W15" s="169"/>
      <c r="AQ15" s="89"/>
    </row>
    <row r="16" spans="1:43" ht="13.15" customHeight="1" thickBot="1" x14ac:dyDescent="0.25">
      <c r="A16" s="419" t="s">
        <v>641</v>
      </c>
      <c r="B16" s="296" t="s">
        <v>222</v>
      </c>
      <c r="C16" s="316">
        <v>3</v>
      </c>
      <c r="D16" s="469">
        <v>3</v>
      </c>
      <c r="E16" s="317">
        <v>2</v>
      </c>
      <c r="F16" s="317">
        <v>2</v>
      </c>
      <c r="G16" s="317">
        <v>3</v>
      </c>
      <c r="H16" s="317">
        <v>3</v>
      </c>
      <c r="I16" s="317">
        <v>4</v>
      </c>
      <c r="J16" s="317">
        <v>4</v>
      </c>
      <c r="K16" s="317" t="s">
        <v>461</v>
      </c>
      <c r="L16" s="317">
        <v>5</v>
      </c>
      <c r="M16" s="317">
        <v>5</v>
      </c>
      <c r="N16" s="317">
        <v>5</v>
      </c>
      <c r="O16" s="847"/>
      <c r="P16" s="848"/>
      <c r="Q16" s="848"/>
      <c r="R16" s="848"/>
      <c r="S16" s="848"/>
      <c r="T16" s="848"/>
      <c r="U16" s="849"/>
      <c r="V16" s="21"/>
      <c r="AO16"/>
      <c r="AQ16" s="89"/>
    </row>
    <row r="17" spans="1:43" ht="13.15" customHeight="1" x14ac:dyDescent="0.2">
      <c r="A17" s="31" t="s">
        <v>221</v>
      </c>
      <c r="B17" s="422"/>
      <c r="C17" s="631" t="s">
        <v>220</v>
      </c>
      <c r="D17" s="632"/>
      <c r="E17" s="633" t="s">
        <v>197</v>
      </c>
      <c r="F17" s="634"/>
      <c r="G17" s="634"/>
      <c r="H17" s="634"/>
      <c r="I17" s="634"/>
      <c r="J17" s="634"/>
      <c r="K17" s="635" t="s">
        <v>241</v>
      </c>
      <c r="L17" s="634"/>
      <c r="M17" s="634"/>
      <c r="N17" s="636"/>
      <c r="O17" s="656" t="s">
        <v>243</v>
      </c>
      <c r="P17" s="656" t="s">
        <v>242</v>
      </c>
      <c r="Q17" s="637" t="s">
        <v>244</v>
      </c>
      <c r="R17" s="638"/>
      <c r="S17" s="633" t="s">
        <v>245</v>
      </c>
      <c r="T17" s="639"/>
      <c r="U17" s="640"/>
      <c r="V17" s="21"/>
      <c r="AO17"/>
      <c r="AQ17" s="89"/>
    </row>
    <row r="18" spans="1:43" ht="13.15" customHeight="1" x14ac:dyDescent="0.2">
      <c r="A18" s="20"/>
      <c r="B18" s="424"/>
      <c r="C18" s="30" t="s">
        <v>219</v>
      </c>
      <c r="D18" s="30" t="s">
        <v>218</v>
      </c>
      <c r="E18" s="554"/>
      <c r="F18" s="555"/>
      <c r="G18" s="555"/>
      <c r="H18" s="555"/>
      <c r="I18" s="555"/>
      <c r="J18" s="555"/>
      <c r="K18" s="558"/>
      <c r="L18" s="555"/>
      <c r="M18" s="555"/>
      <c r="N18" s="556"/>
      <c r="O18" s="555"/>
      <c r="P18" s="555"/>
      <c r="Q18" s="555"/>
      <c r="R18" s="555"/>
      <c r="S18" s="641"/>
      <c r="T18" s="642"/>
      <c r="U18" s="643"/>
      <c r="V18" s="172"/>
      <c r="W18" s="168"/>
      <c r="X18" s="659" t="s">
        <v>288</v>
      </c>
      <c r="Y18" s="670"/>
      <c r="Z18" s="670"/>
      <c r="AA18" s="670"/>
      <c r="AB18" s="670"/>
      <c r="AC18" s="670"/>
      <c r="AD18" s="670"/>
      <c r="AE18" s="670"/>
      <c r="AF18" s="670"/>
      <c r="AG18" s="670"/>
      <c r="AH18" s="670"/>
      <c r="AI18" s="670"/>
      <c r="AJ18" s="670"/>
      <c r="AK18" s="670"/>
      <c r="AL18" s="670"/>
      <c r="AM18" s="670"/>
      <c r="AN18" s="670"/>
      <c r="AO18" s="660"/>
      <c r="AP18" s="660"/>
      <c r="AQ18" s="89"/>
    </row>
    <row r="19" spans="1:43" ht="13.15" customHeight="1" x14ac:dyDescent="0.2">
      <c r="A19" s="19" t="s">
        <v>217</v>
      </c>
      <c r="B19" s="60"/>
      <c r="C19" s="24">
        <v>15</v>
      </c>
      <c r="D19" s="24">
        <v>50</v>
      </c>
      <c r="E19" s="561" t="s">
        <v>497</v>
      </c>
      <c r="F19" s="562"/>
      <c r="G19" s="562"/>
      <c r="H19" s="562"/>
      <c r="I19" s="562"/>
      <c r="J19" s="563"/>
      <c r="K19" s="564" t="s">
        <v>322</v>
      </c>
      <c r="L19" s="562"/>
      <c r="M19" s="562"/>
      <c r="N19" s="563"/>
      <c r="O19" s="97" t="s">
        <v>236</v>
      </c>
      <c r="P19" s="97" t="s">
        <v>485</v>
      </c>
      <c r="Q19" s="651" t="s">
        <v>304</v>
      </c>
      <c r="R19" s="626"/>
      <c r="S19" s="88"/>
      <c r="U19" s="89"/>
      <c r="V19" s="657" t="s">
        <v>274</v>
      </c>
      <c r="W19" s="1">
        <v>15</v>
      </c>
      <c r="X19" s="139" t="s">
        <v>406</v>
      </c>
      <c r="Y19" s="137"/>
      <c r="Z19" s="137"/>
      <c r="AA19" s="137"/>
      <c r="AB19" s="137"/>
      <c r="AC19" s="137"/>
      <c r="AD19" s="137"/>
      <c r="AE19" s="137"/>
      <c r="AF19" s="137"/>
      <c r="AG19" s="137"/>
      <c r="AH19" s="137"/>
      <c r="AI19" s="137"/>
      <c r="AJ19" s="137"/>
      <c r="AK19" s="137"/>
      <c r="AL19" s="138"/>
      <c r="AM19" s="138"/>
      <c r="AQ19" s="89"/>
    </row>
    <row r="20" spans="1:43" ht="13.15" customHeight="1" x14ac:dyDescent="0.2">
      <c r="A20" s="19"/>
      <c r="B20" s="60"/>
      <c r="C20" s="24">
        <v>65</v>
      </c>
      <c r="D20" s="24">
        <v>200</v>
      </c>
      <c r="E20" s="583" t="s">
        <v>496</v>
      </c>
      <c r="F20" s="549"/>
      <c r="G20" s="549"/>
      <c r="H20" s="549"/>
      <c r="I20" s="549"/>
      <c r="J20" s="550"/>
      <c r="K20" s="584" t="s">
        <v>322</v>
      </c>
      <c r="L20" s="549"/>
      <c r="M20" s="549"/>
      <c r="N20" s="550"/>
      <c r="O20" s="98" t="s">
        <v>236</v>
      </c>
      <c r="P20" s="98" t="s">
        <v>484</v>
      </c>
      <c r="Q20" s="652" t="s">
        <v>304</v>
      </c>
      <c r="R20" s="586"/>
      <c r="S20" s="88"/>
      <c r="U20" s="89"/>
      <c r="V20" s="824"/>
      <c r="W20" s="430" t="s">
        <v>642</v>
      </c>
      <c r="X20" s="139"/>
      <c r="Y20" s="139"/>
      <c r="Z20" s="501"/>
      <c r="AA20" s="137"/>
      <c r="AB20" s="137"/>
      <c r="AC20" s="137"/>
      <c r="AD20" s="137"/>
      <c r="AE20" s="137"/>
      <c r="AF20" s="137"/>
      <c r="AG20" s="137"/>
      <c r="AH20" s="137"/>
      <c r="AI20" s="137"/>
      <c r="AJ20" s="137"/>
      <c r="AK20" s="137"/>
      <c r="AL20" s="137"/>
      <c r="AM20" s="138"/>
      <c r="AN20" s="138"/>
      <c r="AO20"/>
      <c r="AQ20" s="89"/>
    </row>
    <row r="21" spans="1:43" ht="13.15" customHeight="1" x14ac:dyDescent="0.2">
      <c r="A21" s="19"/>
      <c r="B21" s="60"/>
      <c r="C21" s="24"/>
      <c r="D21" s="24"/>
      <c r="E21" s="583"/>
      <c r="F21" s="549"/>
      <c r="G21" s="549"/>
      <c r="H21" s="549"/>
      <c r="I21" s="549"/>
      <c r="J21" s="550"/>
      <c r="K21" s="584"/>
      <c r="L21" s="549"/>
      <c r="M21" s="549"/>
      <c r="N21" s="550"/>
      <c r="O21" s="98"/>
      <c r="P21" s="98"/>
      <c r="Q21" s="652"/>
      <c r="R21" s="586"/>
      <c r="S21" s="88"/>
      <c r="U21" s="89"/>
      <c r="V21" s="824"/>
      <c r="W21" s="118">
        <v>25</v>
      </c>
      <c r="X21" s="139" t="s">
        <v>407</v>
      </c>
      <c r="Y21" s="139"/>
      <c r="Z21" s="139" t="s">
        <v>407</v>
      </c>
      <c r="AA21" s="147"/>
      <c r="AB21" s="137"/>
      <c r="AC21" s="137"/>
      <c r="AD21" s="137"/>
      <c r="AE21" s="137"/>
      <c r="AF21" s="137"/>
      <c r="AG21" s="137"/>
      <c r="AH21" s="137"/>
      <c r="AI21" s="137"/>
      <c r="AJ21" s="137"/>
      <c r="AK21" s="137"/>
      <c r="AL21" s="137"/>
      <c r="AM21" s="138"/>
      <c r="AN21" s="138"/>
      <c r="AO21"/>
      <c r="AQ21" s="89"/>
    </row>
    <row r="22" spans="1:43" ht="13.15" customHeight="1" x14ac:dyDescent="0.2">
      <c r="A22" s="19"/>
      <c r="B22" s="60"/>
      <c r="C22" s="24"/>
      <c r="D22" s="24"/>
      <c r="E22" s="583"/>
      <c r="F22" s="549"/>
      <c r="G22" s="549"/>
      <c r="H22" s="549"/>
      <c r="I22" s="549"/>
      <c r="J22" s="550"/>
      <c r="K22" s="584"/>
      <c r="L22" s="549"/>
      <c r="M22" s="549"/>
      <c r="N22" s="550"/>
      <c r="O22" s="98"/>
      <c r="P22" s="98"/>
      <c r="Q22" s="652"/>
      <c r="R22" s="586"/>
      <c r="S22" s="88"/>
      <c r="U22" s="89"/>
      <c r="V22" s="824"/>
      <c r="W22" s="430" t="s">
        <v>643</v>
      </c>
      <c r="X22" s="139"/>
      <c r="Y22" s="139"/>
      <c r="Z22" s="139"/>
      <c r="AA22" s="139"/>
      <c r="AB22" s="501"/>
      <c r="AC22" s="137"/>
      <c r="AD22" s="137"/>
      <c r="AE22" s="137"/>
      <c r="AF22" s="137"/>
      <c r="AG22" s="137"/>
      <c r="AH22" s="137"/>
      <c r="AI22" s="137"/>
      <c r="AJ22" s="137"/>
      <c r="AK22" s="137"/>
      <c r="AL22" s="137"/>
      <c r="AM22" s="137"/>
      <c r="AN22" s="138"/>
      <c r="AO22" s="138"/>
      <c r="AP22"/>
      <c r="AQ22" s="89"/>
    </row>
    <row r="23" spans="1:43" ht="13.15" customHeight="1" x14ac:dyDescent="0.2">
      <c r="A23" s="19"/>
      <c r="B23" s="60"/>
      <c r="C23" s="24"/>
      <c r="D23" s="24"/>
      <c r="E23" s="155"/>
      <c r="F23" s="160"/>
      <c r="G23" s="160"/>
      <c r="H23" s="160"/>
      <c r="I23" s="160"/>
      <c r="J23" s="181"/>
      <c r="K23" s="182"/>
      <c r="L23" s="160"/>
      <c r="M23" s="160"/>
      <c r="N23" s="181"/>
      <c r="O23" s="98"/>
      <c r="P23" s="98"/>
      <c r="Q23" s="183"/>
      <c r="R23" s="161"/>
      <c r="S23" s="88"/>
      <c r="U23" s="89"/>
      <c r="V23" s="824"/>
      <c r="W23" s="118">
        <v>40</v>
      </c>
      <c r="X23" s="139" t="s">
        <v>396</v>
      </c>
      <c r="Y23" s="139"/>
      <c r="Z23" s="139" t="s">
        <v>396</v>
      </c>
      <c r="AA23" s="139"/>
      <c r="AB23" s="139" t="s">
        <v>396</v>
      </c>
      <c r="AC23" s="137"/>
      <c r="AD23" s="137"/>
      <c r="AE23" s="137"/>
      <c r="AF23" s="137"/>
      <c r="AG23" s="137"/>
      <c r="AH23" s="137"/>
      <c r="AI23" s="137"/>
      <c r="AJ23" s="137"/>
      <c r="AK23" s="137"/>
      <c r="AL23" s="137"/>
      <c r="AM23" s="137"/>
      <c r="AN23" s="138"/>
      <c r="AO23" s="138"/>
      <c r="AP23"/>
      <c r="AQ23" s="89"/>
    </row>
    <row r="24" spans="1:43" ht="13.15" customHeight="1" x14ac:dyDescent="0.2">
      <c r="A24" s="26" t="s">
        <v>298</v>
      </c>
      <c r="B24" s="435"/>
      <c r="C24" s="29">
        <v>15</v>
      </c>
      <c r="D24" s="25">
        <v>50</v>
      </c>
      <c r="E24" s="653" t="s">
        <v>495</v>
      </c>
      <c r="F24" s="654"/>
      <c r="G24" s="654"/>
      <c r="H24" s="654"/>
      <c r="I24" s="654"/>
      <c r="J24" s="655"/>
      <c r="K24" s="699" t="s">
        <v>322</v>
      </c>
      <c r="L24" s="654"/>
      <c r="M24" s="654"/>
      <c r="N24" s="655"/>
      <c r="O24" s="148" t="s">
        <v>236</v>
      </c>
      <c r="P24" s="97" t="s">
        <v>485</v>
      </c>
      <c r="Q24" s="565" t="s">
        <v>304</v>
      </c>
      <c r="R24" s="566"/>
      <c r="S24" s="90"/>
      <c r="T24" s="91"/>
      <c r="U24" s="92"/>
      <c r="V24" s="824"/>
      <c r="W24" s="1">
        <v>50</v>
      </c>
      <c r="X24" s="139" t="s">
        <v>410</v>
      </c>
      <c r="Y24" s="139"/>
      <c r="Z24" s="139" t="s">
        <v>396</v>
      </c>
      <c r="AA24" s="139"/>
      <c r="AB24" s="139" t="s">
        <v>396</v>
      </c>
      <c r="AC24" s="139" t="s">
        <v>396</v>
      </c>
      <c r="AD24" s="137"/>
      <c r="AE24" s="137"/>
      <c r="AF24" s="137"/>
      <c r="AG24" s="137"/>
      <c r="AH24" s="137"/>
      <c r="AI24" s="137"/>
      <c r="AJ24" s="137"/>
      <c r="AK24" s="137"/>
      <c r="AL24" s="137"/>
      <c r="AM24" s="137"/>
      <c r="AN24" s="138"/>
      <c r="AO24" s="138"/>
      <c r="AP24"/>
      <c r="AQ24" s="89"/>
    </row>
    <row r="25" spans="1:43" ht="13.15" customHeight="1" x14ac:dyDescent="0.2">
      <c r="A25" s="19" t="s">
        <v>305</v>
      </c>
      <c r="B25" s="60"/>
      <c r="C25" s="235">
        <v>15</v>
      </c>
      <c r="D25" s="242">
        <v>32</v>
      </c>
      <c r="E25" s="644" t="s">
        <v>503</v>
      </c>
      <c r="F25" s="645"/>
      <c r="G25" s="645"/>
      <c r="H25" s="645"/>
      <c r="I25" s="645"/>
      <c r="J25" s="646"/>
      <c r="K25" s="700" t="s">
        <v>323</v>
      </c>
      <c r="L25" s="645"/>
      <c r="M25" s="645"/>
      <c r="N25" s="646"/>
      <c r="O25" s="188" t="s">
        <v>236</v>
      </c>
      <c r="P25" s="98" t="s">
        <v>246</v>
      </c>
      <c r="Q25" s="585" t="s">
        <v>306</v>
      </c>
      <c r="R25" s="615"/>
      <c r="S25" s="93"/>
      <c r="U25" s="89"/>
      <c r="V25" s="824"/>
      <c r="W25" s="227" t="s">
        <v>295</v>
      </c>
      <c r="X25" s="139" t="s">
        <v>410</v>
      </c>
      <c r="Y25" s="139"/>
      <c r="Z25" s="139" t="s">
        <v>397</v>
      </c>
      <c r="AA25" s="139"/>
      <c r="AB25" s="139" t="s">
        <v>397</v>
      </c>
      <c r="AC25" s="139" t="s">
        <v>397</v>
      </c>
      <c r="AD25" s="139" t="s">
        <v>397</v>
      </c>
      <c r="AE25" s="147"/>
      <c r="AF25" s="137"/>
      <c r="AG25" s="137"/>
      <c r="AH25" s="137"/>
      <c r="AI25" s="137"/>
      <c r="AJ25" s="137"/>
      <c r="AK25" s="137"/>
      <c r="AL25" s="137"/>
      <c r="AM25" s="137"/>
      <c r="AN25" s="137"/>
      <c r="AO25" s="138"/>
      <c r="AP25" s="138"/>
      <c r="AQ25" s="89"/>
    </row>
    <row r="26" spans="1:43" ht="13.15" customHeight="1" x14ac:dyDescent="0.2">
      <c r="A26" s="19"/>
      <c r="B26" s="60"/>
      <c r="C26" s="24">
        <v>40</v>
      </c>
      <c r="D26" s="23">
        <v>200</v>
      </c>
      <c r="E26" s="583" t="s">
        <v>503</v>
      </c>
      <c r="F26" s="549"/>
      <c r="G26" s="549"/>
      <c r="H26" s="549"/>
      <c r="I26" s="549"/>
      <c r="J26" s="550"/>
      <c r="K26" s="584" t="s">
        <v>323</v>
      </c>
      <c r="L26" s="549"/>
      <c r="M26" s="549"/>
      <c r="N26" s="550"/>
      <c r="O26" s="98" t="s">
        <v>236</v>
      </c>
      <c r="P26" s="98" t="s">
        <v>246</v>
      </c>
      <c r="Q26" s="585" t="s">
        <v>307</v>
      </c>
      <c r="R26" s="615"/>
      <c r="S26" s="88"/>
      <c r="U26" s="89"/>
      <c r="V26" s="824"/>
      <c r="W26" s="1">
        <v>80</v>
      </c>
      <c r="X26" s="139" t="s">
        <v>410</v>
      </c>
      <c r="Y26" s="139"/>
      <c r="Z26" s="139" t="s">
        <v>421</v>
      </c>
      <c r="AA26" s="139"/>
      <c r="AB26" s="139" t="s">
        <v>397</v>
      </c>
      <c r="AC26" s="139" t="s">
        <v>397</v>
      </c>
      <c r="AD26" s="139" t="s">
        <v>397</v>
      </c>
      <c r="AE26" s="139" t="s">
        <v>397</v>
      </c>
      <c r="AF26" s="137"/>
      <c r="AG26" s="137"/>
      <c r="AH26" s="137"/>
      <c r="AI26" s="137"/>
      <c r="AJ26" s="137"/>
      <c r="AK26" s="137"/>
      <c r="AL26" s="137"/>
      <c r="AM26" s="137"/>
      <c r="AN26" s="137"/>
      <c r="AO26" s="138"/>
      <c r="AP26" s="138"/>
      <c r="AQ26" s="89"/>
    </row>
    <row r="27" spans="1:43" ht="13.15" customHeight="1" x14ac:dyDescent="0.2">
      <c r="A27" s="19"/>
      <c r="B27" s="60"/>
      <c r="C27" s="24"/>
      <c r="D27" s="23"/>
      <c r="E27" s="155"/>
      <c r="F27" s="160"/>
      <c r="G27" s="160"/>
      <c r="H27" s="160"/>
      <c r="I27" s="160"/>
      <c r="J27" s="181"/>
      <c r="K27" s="182"/>
      <c r="L27" s="160"/>
      <c r="M27" s="160"/>
      <c r="N27" s="181"/>
      <c r="O27" s="98"/>
      <c r="P27" s="98"/>
      <c r="Q27" s="183"/>
      <c r="R27" s="161"/>
      <c r="S27" s="93"/>
      <c r="U27" s="89"/>
      <c r="V27" s="824"/>
      <c r="W27" s="1">
        <v>100</v>
      </c>
      <c r="X27" s="139" t="s">
        <v>389</v>
      </c>
      <c r="Y27" s="139"/>
      <c r="Z27" s="139" t="s">
        <v>394</v>
      </c>
      <c r="AA27" s="139"/>
      <c r="AB27" s="139" t="s">
        <v>398</v>
      </c>
      <c r="AC27" s="139" t="s">
        <v>398</v>
      </c>
      <c r="AD27" s="139" t="s">
        <v>398</v>
      </c>
      <c r="AE27" s="139" t="s">
        <v>398</v>
      </c>
      <c r="AF27" s="139" t="s">
        <v>397</v>
      </c>
      <c r="AG27" s="137"/>
      <c r="AH27" s="137"/>
      <c r="AI27" s="137"/>
      <c r="AJ27" s="137"/>
      <c r="AK27" s="137"/>
      <c r="AL27" s="137"/>
      <c r="AM27" s="137"/>
      <c r="AN27" s="137"/>
      <c r="AO27" s="138"/>
      <c r="AP27" s="138"/>
      <c r="AQ27" s="89"/>
    </row>
    <row r="28" spans="1:43" ht="13.15" customHeight="1" x14ac:dyDescent="0.2">
      <c r="A28" s="20"/>
      <c r="B28" s="424"/>
      <c r="C28" s="28"/>
      <c r="D28" s="27"/>
      <c r="E28" s="320"/>
      <c r="F28" s="124"/>
      <c r="G28" s="124"/>
      <c r="H28" s="124"/>
      <c r="I28" s="124"/>
      <c r="J28" s="354"/>
      <c r="K28" s="321"/>
      <c r="L28" s="124"/>
      <c r="M28" s="124"/>
      <c r="N28" s="354"/>
      <c r="O28" s="110"/>
      <c r="P28" s="110"/>
      <c r="Q28" s="80"/>
      <c r="R28" s="80"/>
      <c r="S28" s="94"/>
      <c r="T28" s="95"/>
      <c r="U28" s="96"/>
      <c r="V28" s="824"/>
      <c r="W28" s="227" t="s">
        <v>296</v>
      </c>
      <c r="X28" s="139" t="s">
        <v>389</v>
      </c>
      <c r="Y28" s="139"/>
      <c r="Z28" s="139" t="s">
        <v>394</v>
      </c>
      <c r="AA28" s="139"/>
      <c r="AB28" s="139" t="s">
        <v>402</v>
      </c>
      <c r="AC28" s="139" t="s">
        <v>398</v>
      </c>
      <c r="AD28" s="139" t="s">
        <v>398</v>
      </c>
      <c r="AE28" s="139" t="s">
        <v>398</v>
      </c>
      <c r="AF28" s="139" t="s">
        <v>398</v>
      </c>
      <c r="AG28" s="139" t="s">
        <v>398</v>
      </c>
      <c r="AH28" s="137"/>
      <c r="AI28" s="137"/>
      <c r="AJ28" s="137"/>
      <c r="AK28" s="137"/>
      <c r="AL28" s="137"/>
      <c r="AM28" s="137"/>
      <c r="AN28" s="137"/>
      <c r="AO28" s="138"/>
      <c r="AP28" s="138"/>
      <c r="AQ28" s="89"/>
    </row>
    <row r="29" spans="1:43" ht="13.15" customHeight="1" x14ac:dyDescent="0.2">
      <c r="A29" s="19" t="s">
        <v>249</v>
      </c>
      <c r="B29" s="60"/>
      <c r="C29" s="24">
        <v>15</v>
      </c>
      <c r="D29" s="24">
        <v>15</v>
      </c>
      <c r="E29" s="561" t="s">
        <v>271</v>
      </c>
      <c r="F29" s="562"/>
      <c r="G29" s="562"/>
      <c r="H29" s="562"/>
      <c r="I29" s="562"/>
      <c r="J29" s="563"/>
      <c r="K29" s="564" t="s">
        <v>323</v>
      </c>
      <c r="L29" s="562"/>
      <c r="M29" s="562"/>
      <c r="N29" s="563"/>
      <c r="O29" s="97" t="s">
        <v>236</v>
      </c>
      <c r="P29" s="97" t="s">
        <v>246</v>
      </c>
      <c r="Q29" s="565" t="s">
        <v>306</v>
      </c>
      <c r="R29" s="566"/>
      <c r="S29" s="694" t="s">
        <v>548</v>
      </c>
      <c r="T29" s="91"/>
      <c r="U29" s="92"/>
      <c r="V29" s="824"/>
      <c r="W29" s="1">
        <v>150</v>
      </c>
      <c r="X29" s="139" t="s">
        <v>389</v>
      </c>
      <c r="Y29" s="139"/>
      <c r="Z29" s="139" t="s">
        <v>402</v>
      </c>
      <c r="AA29" s="139"/>
      <c r="AB29" s="139" t="s">
        <v>402</v>
      </c>
      <c r="AC29" s="142" t="s">
        <v>546</v>
      </c>
      <c r="AD29" s="139" t="s">
        <v>398</v>
      </c>
      <c r="AE29" s="139" t="s">
        <v>398</v>
      </c>
      <c r="AF29" s="139" t="s">
        <v>398</v>
      </c>
      <c r="AG29" s="139" t="s">
        <v>398</v>
      </c>
      <c r="AH29" s="139" t="s">
        <v>398</v>
      </c>
      <c r="AI29" s="137"/>
      <c r="AJ29" s="137"/>
      <c r="AK29" s="137"/>
      <c r="AL29" s="137"/>
      <c r="AM29" s="137"/>
      <c r="AN29" s="137"/>
      <c r="AO29" s="138"/>
      <c r="AP29" s="138"/>
      <c r="AQ29" s="89"/>
    </row>
    <row r="30" spans="1:43" ht="13.15" customHeight="1" x14ac:dyDescent="0.2">
      <c r="A30" s="19" t="s">
        <v>250</v>
      </c>
      <c r="B30" s="60"/>
      <c r="C30" s="24">
        <v>25</v>
      </c>
      <c r="D30" s="24">
        <v>200</v>
      </c>
      <c r="E30" s="583" t="s">
        <v>271</v>
      </c>
      <c r="F30" s="549"/>
      <c r="G30" s="549"/>
      <c r="H30" s="549"/>
      <c r="I30" s="549"/>
      <c r="J30" s="550"/>
      <c r="K30" s="584" t="s">
        <v>323</v>
      </c>
      <c r="L30" s="549"/>
      <c r="M30" s="549"/>
      <c r="N30" s="550"/>
      <c r="O30" s="98" t="s">
        <v>236</v>
      </c>
      <c r="P30" s="98" t="s">
        <v>246</v>
      </c>
      <c r="Q30" s="585" t="s">
        <v>307</v>
      </c>
      <c r="R30" s="615"/>
      <c r="S30" s="695"/>
      <c r="U30" s="89"/>
      <c r="V30" s="824"/>
      <c r="W30" s="1">
        <v>200</v>
      </c>
      <c r="X30" s="139" t="s">
        <v>389</v>
      </c>
      <c r="Y30" s="139"/>
      <c r="Z30" s="139" t="s">
        <v>402</v>
      </c>
      <c r="AA30" s="139"/>
      <c r="AB30" s="139" t="s">
        <v>403</v>
      </c>
      <c r="AC30" s="142" t="s">
        <v>628</v>
      </c>
      <c r="AD30" s="142" t="s">
        <v>628</v>
      </c>
      <c r="AE30" s="139" t="s">
        <v>398</v>
      </c>
      <c r="AF30" s="139" t="s">
        <v>398</v>
      </c>
      <c r="AG30" s="139" t="s">
        <v>398</v>
      </c>
      <c r="AH30" s="139" t="s">
        <v>398</v>
      </c>
      <c r="AI30" s="139" t="s">
        <v>398</v>
      </c>
      <c r="AJ30" s="137"/>
      <c r="AK30" s="137"/>
      <c r="AL30" s="137"/>
      <c r="AM30" s="137"/>
      <c r="AN30" s="137"/>
      <c r="AO30" s="138"/>
      <c r="AP30" s="138"/>
      <c r="AQ30" s="89"/>
    </row>
    <row r="31" spans="1:43" ht="13.15" customHeight="1" x14ac:dyDescent="0.2">
      <c r="A31" s="19"/>
      <c r="B31" s="60"/>
      <c r="C31" s="210" t="s">
        <v>236</v>
      </c>
      <c r="D31" s="210" t="s">
        <v>236</v>
      </c>
      <c r="E31" s="583" t="s">
        <v>325</v>
      </c>
      <c r="F31" s="549"/>
      <c r="G31" s="549"/>
      <c r="H31" s="549"/>
      <c r="I31" s="549"/>
      <c r="J31" s="550"/>
      <c r="K31" s="584" t="s">
        <v>322</v>
      </c>
      <c r="L31" s="549"/>
      <c r="M31" s="549"/>
      <c r="N31" s="550"/>
      <c r="O31" s="98" t="s">
        <v>236</v>
      </c>
      <c r="P31" s="98" t="s">
        <v>246</v>
      </c>
      <c r="Q31" s="585" t="s">
        <v>347</v>
      </c>
      <c r="R31" s="615"/>
      <c r="S31" s="695"/>
      <c r="U31" s="89"/>
      <c r="V31" s="824"/>
      <c r="W31" s="1">
        <v>250</v>
      </c>
      <c r="X31" s="136"/>
      <c r="Y31" s="142"/>
      <c r="Z31" s="142"/>
      <c r="AA31" s="139"/>
      <c r="AB31" s="139"/>
      <c r="AC31" s="136"/>
      <c r="AD31" s="136"/>
      <c r="AE31" s="136"/>
      <c r="AF31" s="136"/>
      <c r="AG31" s="136"/>
      <c r="AH31" s="136"/>
      <c r="AI31" s="136"/>
      <c r="AJ31" s="136"/>
      <c r="AK31" s="137"/>
      <c r="AL31" s="137"/>
      <c r="AM31" s="137"/>
      <c r="AN31" s="137"/>
      <c r="AO31" s="138"/>
      <c r="AP31" s="138"/>
      <c r="AQ31" s="89"/>
    </row>
    <row r="32" spans="1:43" ht="13.15" customHeight="1" x14ac:dyDescent="0.2">
      <c r="A32" s="19"/>
      <c r="B32" s="60"/>
      <c r="C32" s="210"/>
      <c r="D32" s="210"/>
      <c r="E32" s="155"/>
      <c r="F32" s="160"/>
      <c r="G32" s="160"/>
      <c r="H32" s="160"/>
      <c r="I32" s="160"/>
      <c r="J32" s="181"/>
      <c r="K32" s="182"/>
      <c r="L32" s="160"/>
      <c r="M32" s="160"/>
      <c r="N32" s="181"/>
      <c r="O32" s="98"/>
      <c r="P32" s="98"/>
      <c r="Q32" s="347"/>
      <c r="R32" s="348"/>
      <c r="S32" s="695"/>
      <c r="U32" s="89"/>
      <c r="V32" s="824"/>
      <c r="W32" s="1">
        <v>300</v>
      </c>
      <c r="X32" s="136"/>
      <c r="Y32" s="142"/>
      <c r="Z32" s="142"/>
      <c r="AA32" s="136"/>
      <c r="AB32" s="136"/>
      <c r="AC32" s="136"/>
      <c r="AD32" s="136"/>
      <c r="AE32" s="136"/>
      <c r="AF32" s="136"/>
      <c r="AG32" s="136"/>
      <c r="AH32" s="136"/>
      <c r="AI32" s="136"/>
      <c r="AJ32" s="136"/>
      <c r="AK32" s="136"/>
      <c r="AL32" s="137"/>
      <c r="AM32" s="137"/>
      <c r="AN32" s="137"/>
      <c r="AO32" s="138"/>
      <c r="AP32" s="138"/>
      <c r="AQ32" s="89"/>
    </row>
    <row r="33" spans="1:43" ht="13.15" customHeight="1" x14ac:dyDescent="0.2">
      <c r="A33" s="19" t="s">
        <v>256</v>
      </c>
      <c r="B33" s="60"/>
      <c r="C33" s="24">
        <v>100</v>
      </c>
      <c r="D33" s="24">
        <v>150</v>
      </c>
      <c r="E33" s="583" t="s">
        <v>529</v>
      </c>
      <c r="F33" s="549"/>
      <c r="G33" s="549"/>
      <c r="H33" s="549"/>
      <c r="I33" s="549"/>
      <c r="J33" s="550"/>
      <c r="K33" s="584" t="s">
        <v>418</v>
      </c>
      <c r="L33" s="549"/>
      <c r="M33" s="549"/>
      <c r="N33" s="550"/>
      <c r="O33" s="98" t="s">
        <v>236</v>
      </c>
      <c r="P33" s="98" t="s">
        <v>328</v>
      </c>
      <c r="Q33" s="585" t="s">
        <v>332</v>
      </c>
      <c r="R33" s="615"/>
      <c r="S33" s="695"/>
      <c r="T33" s="60" t="s">
        <v>524</v>
      </c>
      <c r="U33" s="322"/>
      <c r="V33" s="824"/>
      <c r="W33" s="1">
        <v>350</v>
      </c>
      <c r="X33" s="136"/>
      <c r="Y33" s="142"/>
      <c r="Z33" s="142"/>
      <c r="AA33" s="136"/>
      <c r="AB33" s="136"/>
      <c r="AC33" s="136"/>
      <c r="AD33" s="136"/>
      <c r="AE33" s="136"/>
      <c r="AF33" s="136"/>
      <c r="AG33" s="136"/>
      <c r="AH33" s="136"/>
      <c r="AI33" s="136"/>
      <c r="AJ33" s="136"/>
      <c r="AK33" s="136"/>
      <c r="AL33" s="136"/>
      <c r="AM33" s="137"/>
      <c r="AN33" s="137"/>
      <c r="AO33" s="138"/>
      <c r="AP33" s="138"/>
      <c r="AQ33" s="89"/>
    </row>
    <row r="34" spans="1:43" ht="13.15" customHeight="1" x14ac:dyDescent="0.2">
      <c r="A34" s="19"/>
      <c r="B34" s="60"/>
      <c r="C34" s="24">
        <v>200</v>
      </c>
      <c r="D34" s="24">
        <v>200</v>
      </c>
      <c r="E34" s="583" t="s">
        <v>528</v>
      </c>
      <c r="F34" s="549"/>
      <c r="G34" s="549"/>
      <c r="H34" s="549"/>
      <c r="I34" s="549"/>
      <c r="J34" s="550"/>
      <c r="K34" s="584" t="s">
        <v>418</v>
      </c>
      <c r="L34" s="549"/>
      <c r="M34" s="549"/>
      <c r="N34" s="550"/>
      <c r="O34" s="165" t="s">
        <v>236</v>
      </c>
      <c r="P34" s="98" t="s">
        <v>328</v>
      </c>
      <c r="Q34" s="585" t="s">
        <v>332</v>
      </c>
      <c r="R34" s="615"/>
      <c r="S34" s="695"/>
      <c r="T34" s="60" t="s">
        <v>525</v>
      </c>
      <c r="U34" s="89"/>
      <c r="V34" s="824"/>
      <c r="W34" s="1">
        <v>400</v>
      </c>
      <c r="X34" s="140"/>
      <c r="Y34" s="142"/>
      <c r="Z34" s="142"/>
      <c r="AA34" s="140"/>
      <c r="AB34" s="140"/>
      <c r="AC34" s="140"/>
      <c r="AD34" s="140"/>
      <c r="AE34" s="140"/>
      <c r="AF34" s="140"/>
      <c r="AG34" s="140"/>
      <c r="AH34" s="140"/>
      <c r="AI34" s="140"/>
      <c r="AJ34" s="141"/>
      <c r="AK34" s="140"/>
      <c r="AL34" s="141"/>
      <c r="AM34" s="141"/>
      <c r="AN34" s="137"/>
      <c r="AO34" s="138"/>
      <c r="AP34" s="138"/>
      <c r="AQ34" s="89"/>
    </row>
    <row r="35" spans="1:43" ht="13.15" customHeight="1" x14ac:dyDescent="0.2">
      <c r="A35" s="19"/>
      <c r="B35" s="60"/>
      <c r="C35" s="24"/>
      <c r="D35" s="24"/>
      <c r="E35" s="583" t="s">
        <v>530</v>
      </c>
      <c r="F35" s="549"/>
      <c r="G35" s="549"/>
      <c r="H35" s="549"/>
      <c r="I35" s="549"/>
      <c r="J35" s="550"/>
      <c r="K35" s="584">
        <v>1.5415000000000001</v>
      </c>
      <c r="L35" s="549"/>
      <c r="M35" s="549"/>
      <c r="N35" s="550"/>
      <c r="O35" s="165" t="s">
        <v>236</v>
      </c>
      <c r="P35" s="98" t="s">
        <v>257</v>
      </c>
      <c r="Q35" s="585" t="s">
        <v>721</v>
      </c>
      <c r="R35" s="615"/>
      <c r="S35" s="695"/>
      <c r="U35" s="89"/>
      <c r="V35" s="824"/>
      <c r="W35" s="1">
        <v>450</v>
      </c>
      <c r="X35" s="141"/>
      <c r="Y35" s="142"/>
      <c r="Z35" s="142"/>
      <c r="AA35" s="140"/>
      <c r="AB35" s="140"/>
      <c r="AC35" s="140"/>
      <c r="AD35" s="140"/>
      <c r="AE35" s="140"/>
      <c r="AF35" s="140"/>
      <c r="AG35" s="140"/>
      <c r="AH35" s="140"/>
      <c r="AI35" s="140"/>
      <c r="AJ35" s="141"/>
      <c r="AK35" s="140"/>
      <c r="AL35" s="141"/>
      <c r="AM35" s="141"/>
      <c r="AN35" s="141"/>
      <c r="AO35" s="138"/>
      <c r="AP35" s="138"/>
      <c r="AQ35" s="89"/>
    </row>
    <row r="36" spans="1:43" ht="13.15" customHeight="1" x14ac:dyDescent="0.2">
      <c r="A36" s="19"/>
      <c r="B36" s="60"/>
      <c r="C36" s="24"/>
      <c r="D36" s="24"/>
      <c r="E36" s="583" t="s">
        <v>327</v>
      </c>
      <c r="F36" s="549"/>
      <c r="G36" s="549"/>
      <c r="H36" s="549"/>
      <c r="I36" s="549"/>
      <c r="J36" s="550"/>
      <c r="K36" s="584" t="s">
        <v>330</v>
      </c>
      <c r="L36" s="549"/>
      <c r="M36" s="549"/>
      <c r="N36" s="550"/>
      <c r="O36" s="98" t="s">
        <v>236</v>
      </c>
      <c r="P36" s="98" t="s">
        <v>257</v>
      </c>
      <c r="Q36" s="585" t="s">
        <v>329</v>
      </c>
      <c r="R36" s="615"/>
      <c r="S36" s="695"/>
      <c r="U36" s="89"/>
      <c r="V36" s="824"/>
      <c r="W36" s="1">
        <v>500</v>
      </c>
      <c r="X36" s="136"/>
      <c r="Y36" s="142"/>
      <c r="Z36" s="142"/>
      <c r="AA36" s="136"/>
      <c r="AB36" s="136"/>
      <c r="AC36" s="136"/>
      <c r="AD36" s="136"/>
      <c r="AE36" s="136"/>
      <c r="AF36" s="136"/>
      <c r="AG36" s="136"/>
      <c r="AH36" s="136"/>
      <c r="AI36" s="136"/>
      <c r="AJ36" s="139"/>
      <c r="AK36" s="136"/>
      <c r="AL36" s="136"/>
      <c r="AM36" s="136"/>
      <c r="AN36" s="136"/>
      <c r="AO36" s="136"/>
      <c r="AP36" s="138"/>
      <c r="AQ36" s="89"/>
    </row>
    <row r="37" spans="1:43" ht="13.15" customHeight="1" x14ac:dyDescent="0.2">
      <c r="A37" s="19" t="s">
        <v>258</v>
      </c>
      <c r="B37" s="60"/>
      <c r="C37" s="24">
        <v>15</v>
      </c>
      <c r="D37" s="24">
        <v>40</v>
      </c>
      <c r="E37" s="583" t="s">
        <v>271</v>
      </c>
      <c r="F37" s="549"/>
      <c r="G37" s="549"/>
      <c r="H37" s="549"/>
      <c r="I37" s="549"/>
      <c r="J37" s="550"/>
      <c r="K37" s="584" t="s">
        <v>323</v>
      </c>
      <c r="L37" s="549"/>
      <c r="M37" s="549"/>
      <c r="N37" s="550"/>
      <c r="O37" s="98" t="s">
        <v>236</v>
      </c>
      <c r="P37" s="98" t="s">
        <v>246</v>
      </c>
      <c r="Q37" s="585" t="s">
        <v>306</v>
      </c>
      <c r="R37" s="615"/>
      <c r="S37" s="695"/>
      <c r="U37" s="89"/>
      <c r="V37" s="824"/>
      <c r="W37" s="1">
        <v>600</v>
      </c>
      <c r="X37" s="136"/>
      <c r="Y37" s="142"/>
      <c r="Z37" s="142"/>
      <c r="AA37" s="136"/>
      <c r="AB37" s="136"/>
      <c r="AC37" s="136"/>
      <c r="AD37" s="136"/>
      <c r="AE37" s="136"/>
      <c r="AF37" s="136"/>
      <c r="AG37" s="136"/>
      <c r="AH37" s="136"/>
      <c r="AI37" s="136"/>
      <c r="AJ37" s="136"/>
      <c r="AK37" s="136"/>
      <c r="AL37" s="136"/>
      <c r="AM37" s="136"/>
      <c r="AN37" s="136"/>
      <c r="AO37" s="136"/>
      <c r="AP37" s="136"/>
      <c r="AQ37" s="89"/>
    </row>
    <row r="38" spans="1:43" ht="13.15" customHeight="1" x14ac:dyDescent="0.2">
      <c r="A38" s="19"/>
      <c r="B38" s="60"/>
      <c r="C38" s="24">
        <v>50</v>
      </c>
      <c r="D38" s="24">
        <v>200</v>
      </c>
      <c r="E38" s="713" t="s">
        <v>378</v>
      </c>
      <c r="F38" s="714"/>
      <c r="G38" s="714"/>
      <c r="H38" s="714"/>
      <c r="I38" s="714"/>
      <c r="J38" s="715"/>
      <c r="K38" s="720" t="s">
        <v>418</v>
      </c>
      <c r="L38" s="714"/>
      <c r="M38" s="714"/>
      <c r="N38" s="715"/>
      <c r="O38" s="98" t="s">
        <v>236</v>
      </c>
      <c r="P38" s="98" t="s">
        <v>328</v>
      </c>
      <c r="Q38" s="718" t="s">
        <v>332</v>
      </c>
      <c r="R38" s="807"/>
      <c r="S38" s="696"/>
      <c r="T38" s="95"/>
      <c r="U38" s="96"/>
      <c r="V38" s="21"/>
      <c r="W38"/>
      <c r="X38">
        <v>15</v>
      </c>
      <c r="Y38" s="453" t="s">
        <v>642</v>
      </c>
      <c r="Z38">
        <v>25</v>
      </c>
      <c r="AA38" s="453" t="s">
        <v>643</v>
      </c>
      <c r="AB38">
        <v>40</v>
      </c>
      <c r="AC38">
        <v>50</v>
      </c>
      <c r="AD38" s="228" t="s">
        <v>295</v>
      </c>
      <c r="AE38">
        <v>80</v>
      </c>
      <c r="AF38">
        <v>100</v>
      </c>
      <c r="AG38" s="228" t="s">
        <v>296</v>
      </c>
      <c r="AH38">
        <v>150</v>
      </c>
      <c r="AI38">
        <v>200</v>
      </c>
      <c r="AJ38">
        <v>250</v>
      </c>
      <c r="AK38">
        <v>300</v>
      </c>
      <c r="AL38">
        <v>350</v>
      </c>
      <c r="AM38" s="2">
        <v>400</v>
      </c>
      <c r="AN38" s="2">
        <v>450</v>
      </c>
      <c r="AO38" s="2">
        <v>500</v>
      </c>
      <c r="AP38" s="2">
        <v>600</v>
      </c>
      <c r="AQ38" s="89"/>
    </row>
    <row r="39" spans="1:43" ht="13.15" customHeight="1" x14ac:dyDescent="0.2">
      <c r="A39" s="26" t="s">
        <v>216</v>
      </c>
      <c r="B39" s="454"/>
      <c r="C39" s="29">
        <v>25</v>
      </c>
      <c r="D39" s="25">
        <v>80</v>
      </c>
      <c r="E39" s="561" t="s">
        <v>384</v>
      </c>
      <c r="F39" s="562"/>
      <c r="G39" s="562"/>
      <c r="H39" s="562"/>
      <c r="I39" s="562"/>
      <c r="J39" s="563"/>
      <c r="K39" s="564" t="s">
        <v>323</v>
      </c>
      <c r="L39" s="562"/>
      <c r="M39" s="562"/>
      <c r="N39" s="563"/>
      <c r="O39" s="97" t="s">
        <v>236</v>
      </c>
      <c r="P39" s="97" t="s">
        <v>246</v>
      </c>
      <c r="Q39" s="565" t="s">
        <v>306</v>
      </c>
      <c r="R39" s="566"/>
      <c r="S39" s="827" t="s">
        <v>357</v>
      </c>
      <c r="T39" s="828"/>
      <c r="U39" s="829"/>
      <c r="V39" s="21"/>
      <c r="X39" s="659" t="s">
        <v>275</v>
      </c>
      <c r="Y39" s="660"/>
      <c r="Z39" s="660"/>
      <c r="AA39" s="660"/>
      <c r="AB39" s="660"/>
      <c r="AC39" s="660"/>
      <c r="AD39" s="660"/>
      <c r="AE39" s="660"/>
      <c r="AF39" s="660"/>
      <c r="AG39" s="660"/>
      <c r="AH39" s="660"/>
      <c r="AI39" s="660"/>
      <c r="AJ39" s="660"/>
      <c r="AK39" s="660"/>
      <c r="AL39" s="660"/>
      <c r="AM39" s="660"/>
      <c r="AN39" s="660"/>
      <c r="AO39" s="660"/>
      <c r="AP39" s="660"/>
      <c r="AQ39" s="89"/>
    </row>
    <row r="40" spans="1:43" ht="13.15" customHeight="1" x14ac:dyDescent="0.2">
      <c r="A40" s="19"/>
      <c r="B40" s="60"/>
      <c r="C40" s="24">
        <v>100</v>
      </c>
      <c r="D40" s="23">
        <v>200</v>
      </c>
      <c r="E40" s="583" t="s">
        <v>384</v>
      </c>
      <c r="F40" s="549"/>
      <c r="G40" s="549"/>
      <c r="H40" s="549"/>
      <c r="I40" s="549"/>
      <c r="J40" s="550"/>
      <c r="K40" s="584" t="s">
        <v>323</v>
      </c>
      <c r="L40" s="549"/>
      <c r="M40" s="549"/>
      <c r="N40" s="550"/>
      <c r="O40" s="98" t="s">
        <v>236</v>
      </c>
      <c r="P40" s="98" t="s">
        <v>246</v>
      </c>
      <c r="Q40" s="585" t="s">
        <v>307</v>
      </c>
      <c r="R40" s="615"/>
      <c r="S40" s="830"/>
      <c r="T40" s="831"/>
      <c r="U40" s="832"/>
      <c r="V40" s="21"/>
      <c r="X40" s="61"/>
      <c r="AQ40" s="89"/>
    </row>
    <row r="41" spans="1:43" ht="13.15" customHeight="1" x14ac:dyDescent="0.2">
      <c r="A41" s="20"/>
      <c r="B41" s="424"/>
      <c r="C41" s="28"/>
      <c r="D41" s="27"/>
      <c r="E41" s="320"/>
      <c r="F41" s="124"/>
      <c r="G41" s="124"/>
      <c r="H41" s="124"/>
      <c r="I41" s="124"/>
      <c r="J41" s="354"/>
      <c r="K41" s="321"/>
      <c r="L41" s="124"/>
      <c r="M41" s="124"/>
      <c r="N41" s="354"/>
      <c r="O41" s="110"/>
      <c r="P41" s="99"/>
      <c r="Q41" s="80"/>
      <c r="R41" s="80"/>
      <c r="S41" s="94"/>
      <c r="T41" s="95"/>
      <c r="U41" s="96"/>
      <c r="V41" s="21"/>
      <c r="X41" s="61" t="s">
        <v>627</v>
      </c>
      <c r="AQ41" s="89"/>
    </row>
    <row r="42" spans="1:43" ht="13.15" customHeight="1" x14ac:dyDescent="0.2">
      <c r="A42" s="19" t="s">
        <v>215</v>
      </c>
      <c r="B42" s="60"/>
      <c r="C42" s="24">
        <v>15</v>
      </c>
      <c r="D42" s="24">
        <v>200</v>
      </c>
      <c r="E42" s="561" t="s">
        <v>247</v>
      </c>
      <c r="F42" s="562"/>
      <c r="G42" s="562"/>
      <c r="H42" s="562"/>
      <c r="I42" s="562"/>
      <c r="J42" s="563"/>
      <c r="K42" s="564" t="s">
        <v>536</v>
      </c>
      <c r="L42" s="562"/>
      <c r="M42" s="562"/>
      <c r="N42" s="563"/>
      <c r="O42" s="97" t="s">
        <v>236</v>
      </c>
      <c r="P42" s="97" t="s">
        <v>246</v>
      </c>
      <c r="Q42" s="565" t="s">
        <v>306</v>
      </c>
      <c r="R42" s="566"/>
      <c r="S42" s="109"/>
      <c r="T42" s="91"/>
      <c r="U42" s="92"/>
      <c r="V42" s="21"/>
      <c r="X42" s="61" t="s">
        <v>692</v>
      </c>
      <c r="AQ42" s="89"/>
    </row>
    <row r="43" spans="1:43" ht="13.15" customHeight="1" x14ac:dyDescent="0.2">
      <c r="A43" s="19"/>
      <c r="B43" s="60"/>
      <c r="C43" s="24"/>
      <c r="D43" s="24"/>
      <c r="E43" s="155"/>
      <c r="F43" s="160"/>
      <c r="G43" s="160"/>
      <c r="H43" s="160"/>
      <c r="I43" s="160"/>
      <c r="J43" s="181"/>
      <c r="K43" s="182"/>
      <c r="L43" s="160"/>
      <c r="M43" s="160"/>
      <c r="N43" s="181"/>
      <c r="O43" s="98"/>
      <c r="P43" s="98"/>
      <c r="Q43" s="347"/>
      <c r="R43" s="161"/>
      <c r="S43" s="88"/>
      <c r="U43" s="89"/>
      <c r="V43" s="21"/>
      <c r="AQ43" s="89"/>
    </row>
    <row r="44" spans="1:43" ht="13.15" customHeight="1" x14ac:dyDescent="0.2">
      <c r="A44" s="20"/>
      <c r="B44" s="424"/>
      <c r="C44" s="28"/>
      <c r="D44" s="28"/>
      <c r="E44" s="320"/>
      <c r="F44" s="124"/>
      <c r="G44" s="124"/>
      <c r="H44" s="124"/>
      <c r="I44" s="124"/>
      <c r="J44" s="354"/>
      <c r="K44" s="321"/>
      <c r="L44" s="124"/>
      <c r="M44" s="124"/>
      <c r="N44" s="354"/>
      <c r="O44" s="110"/>
      <c r="P44" s="110"/>
      <c r="Q44" s="80"/>
      <c r="R44" s="80"/>
      <c r="S44" s="94"/>
      <c r="T44" s="95"/>
      <c r="U44" s="96"/>
      <c r="V44" s="21"/>
      <c r="AQ44" s="89"/>
    </row>
    <row r="45" spans="1:43" ht="13.15" customHeight="1" x14ac:dyDescent="0.2">
      <c r="A45" s="19" t="s">
        <v>214</v>
      </c>
      <c r="B45" s="60"/>
      <c r="C45" s="24">
        <v>15</v>
      </c>
      <c r="D45" s="24">
        <v>200</v>
      </c>
      <c r="E45" s="561" t="s">
        <v>483</v>
      </c>
      <c r="F45" s="562"/>
      <c r="G45" s="562"/>
      <c r="H45" s="562"/>
      <c r="I45" s="562"/>
      <c r="J45" s="563"/>
      <c r="K45" s="564" t="s">
        <v>318</v>
      </c>
      <c r="L45" s="562"/>
      <c r="M45" s="562"/>
      <c r="N45" s="563"/>
      <c r="O45" s="97" t="s">
        <v>422</v>
      </c>
      <c r="P45" s="97" t="s">
        <v>246</v>
      </c>
      <c r="Q45" s="565" t="s">
        <v>309</v>
      </c>
      <c r="R45" s="566"/>
      <c r="S45" s="109"/>
      <c r="T45" s="91"/>
      <c r="U45" s="92"/>
      <c r="V45" s="21"/>
      <c r="AQ45" s="89"/>
    </row>
    <row r="46" spans="1:43" ht="13.15" customHeight="1" x14ac:dyDescent="0.2">
      <c r="A46" s="19"/>
      <c r="B46" s="60"/>
      <c r="C46" s="24"/>
      <c r="D46" s="23"/>
      <c r="E46" s="155"/>
      <c r="F46" s="160"/>
      <c r="G46" s="160"/>
      <c r="H46" s="160"/>
      <c r="I46" s="160"/>
      <c r="J46" s="181"/>
      <c r="K46" s="182"/>
      <c r="L46" s="160"/>
      <c r="M46" s="160"/>
      <c r="N46" s="181"/>
      <c r="O46" s="98"/>
      <c r="P46" s="98"/>
      <c r="Q46" s="347"/>
      <c r="R46" s="161"/>
      <c r="S46" s="88"/>
      <c r="U46" s="89"/>
      <c r="V46" s="21"/>
      <c r="AQ46" s="89"/>
    </row>
    <row r="47" spans="1:43" ht="13.15" customHeight="1" x14ac:dyDescent="0.2">
      <c r="A47" s="19"/>
      <c r="B47" s="60"/>
      <c r="C47" s="28"/>
      <c r="D47" s="27"/>
      <c r="E47" s="320"/>
      <c r="F47" s="124"/>
      <c r="G47" s="124"/>
      <c r="H47" s="124"/>
      <c r="I47" s="124"/>
      <c r="J47" s="354"/>
      <c r="K47" s="321"/>
      <c r="L47" s="124"/>
      <c r="M47" s="124"/>
      <c r="N47" s="354"/>
      <c r="O47" s="110"/>
      <c r="P47" s="110"/>
      <c r="Q47" s="80"/>
      <c r="R47" s="80"/>
      <c r="S47" s="94"/>
      <c r="T47" s="95"/>
      <c r="U47" s="96"/>
      <c r="V47" s="21"/>
      <c r="AQ47" s="89"/>
    </row>
    <row r="48" spans="1:43" ht="13.15" customHeight="1" x14ac:dyDescent="0.2">
      <c r="A48" s="26" t="s">
        <v>213</v>
      </c>
      <c r="B48" s="435"/>
      <c r="C48" s="24">
        <v>15</v>
      </c>
      <c r="D48" s="24">
        <v>200</v>
      </c>
      <c r="E48" s="561" t="s">
        <v>514</v>
      </c>
      <c r="F48" s="562"/>
      <c r="G48" s="562"/>
      <c r="H48" s="562"/>
      <c r="I48" s="562"/>
      <c r="J48" s="563"/>
      <c r="K48" s="564" t="s">
        <v>319</v>
      </c>
      <c r="L48" s="562"/>
      <c r="M48" s="562"/>
      <c r="N48" s="563"/>
      <c r="O48" s="97" t="s">
        <v>422</v>
      </c>
      <c r="P48" s="97" t="s">
        <v>248</v>
      </c>
      <c r="Q48" s="565" t="s">
        <v>309</v>
      </c>
      <c r="R48" s="566"/>
      <c r="S48" s="109"/>
      <c r="T48" s="91"/>
      <c r="U48" s="92"/>
      <c r="V48" s="21"/>
      <c r="AQ48" s="89"/>
    </row>
    <row r="49" spans="1:43" ht="13.15" customHeight="1" x14ac:dyDescent="0.2">
      <c r="A49" s="19"/>
      <c r="B49" s="60"/>
      <c r="C49" s="24"/>
      <c r="D49" s="24"/>
      <c r="E49" s="155"/>
      <c r="F49" s="160"/>
      <c r="G49" s="160"/>
      <c r="H49" s="160"/>
      <c r="I49" s="160"/>
      <c r="J49" s="181"/>
      <c r="K49" s="182"/>
      <c r="L49" s="160"/>
      <c r="M49" s="160"/>
      <c r="N49" s="160"/>
      <c r="O49" s="98"/>
      <c r="P49" s="98"/>
      <c r="Q49" s="347"/>
      <c r="R49" s="161"/>
      <c r="S49" s="88"/>
      <c r="U49" s="89"/>
      <c r="V49" s="21"/>
      <c r="AQ49" s="89"/>
    </row>
    <row r="50" spans="1:43" ht="13.15" customHeight="1" x14ac:dyDescent="0.2">
      <c r="A50" s="20"/>
      <c r="B50" s="424"/>
      <c r="C50" s="28"/>
      <c r="D50" s="28"/>
      <c r="E50" s="320"/>
      <c r="F50" s="124"/>
      <c r="G50" s="124"/>
      <c r="H50" s="124"/>
      <c r="I50" s="124"/>
      <c r="J50" s="354"/>
      <c r="K50" s="321"/>
      <c r="L50" s="124"/>
      <c r="M50" s="124"/>
      <c r="N50" s="124"/>
      <c r="O50" s="110"/>
      <c r="P50" s="110"/>
      <c r="Q50" s="80"/>
      <c r="R50" s="80"/>
      <c r="S50" s="94"/>
      <c r="T50" s="95"/>
      <c r="U50" s="96"/>
      <c r="V50" s="21"/>
      <c r="AQ50" s="89"/>
    </row>
    <row r="51" spans="1:43" ht="13.15" customHeight="1" x14ac:dyDescent="0.2">
      <c r="A51" s="19" t="s">
        <v>264</v>
      </c>
      <c r="B51" s="60"/>
      <c r="C51" s="24" t="s">
        <v>313</v>
      </c>
      <c r="D51" s="24" t="s">
        <v>314</v>
      </c>
      <c r="E51" s="561" t="s">
        <v>458</v>
      </c>
      <c r="F51" s="562"/>
      <c r="G51" s="562"/>
      <c r="H51" s="562"/>
      <c r="I51" s="562"/>
      <c r="J51" s="563"/>
      <c r="K51" s="564" t="s">
        <v>655</v>
      </c>
      <c r="L51" s="562"/>
      <c r="M51" s="562"/>
      <c r="N51" s="563"/>
      <c r="O51" s="97" t="s">
        <v>422</v>
      </c>
      <c r="P51" s="97" t="s">
        <v>257</v>
      </c>
      <c r="Q51" s="565" t="s">
        <v>369</v>
      </c>
      <c r="R51" s="566"/>
      <c r="S51" s="109"/>
      <c r="T51" s="91"/>
      <c r="U51" s="92"/>
      <c r="V51" s="21"/>
      <c r="AQ51" s="89"/>
    </row>
    <row r="52" spans="1:43" ht="13.15" customHeight="1" x14ac:dyDescent="0.2">
      <c r="A52" s="20"/>
      <c r="B52" s="424"/>
      <c r="C52" s="28"/>
      <c r="D52" s="28"/>
      <c r="E52" s="320"/>
      <c r="F52" s="349"/>
      <c r="G52" s="349"/>
      <c r="H52" s="349"/>
      <c r="I52" s="349"/>
      <c r="J52" s="350"/>
      <c r="K52" s="321"/>
      <c r="L52" s="349"/>
      <c r="M52" s="349"/>
      <c r="N52" s="350"/>
      <c r="O52" s="146"/>
      <c r="P52" s="146"/>
      <c r="Q52" s="355"/>
      <c r="R52" s="367"/>
      <c r="S52" s="88"/>
      <c r="U52" s="89"/>
      <c r="V52" s="21"/>
      <c r="AQ52" s="89"/>
    </row>
    <row r="53" spans="1:43" ht="13.15" customHeight="1" x14ac:dyDescent="0.2">
      <c r="A53" s="19" t="s">
        <v>212</v>
      </c>
      <c r="B53" s="60"/>
      <c r="C53" s="24" t="s">
        <v>313</v>
      </c>
      <c r="D53" s="24" t="s">
        <v>314</v>
      </c>
      <c r="E53" s="561" t="s">
        <v>315</v>
      </c>
      <c r="F53" s="562"/>
      <c r="G53" s="562"/>
      <c r="H53" s="562"/>
      <c r="I53" s="562"/>
      <c r="J53" s="563"/>
      <c r="K53" s="564" t="s">
        <v>655</v>
      </c>
      <c r="L53" s="562"/>
      <c r="M53" s="562"/>
      <c r="N53" s="563"/>
      <c r="O53" s="97" t="s">
        <v>422</v>
      </c>
      <c r="P53" s="97" t="s">
        <v>257</v>
      </c>
      <c r="Q53" s="565" t="s">
        <v>316</v>
      </c>
      <c r="R53" s="566"/>
      <c r="S53" s="109"/>
      <c r="T53" s="91"/>
      <c r="U53" s="92"/>
      <c r="V53" s="21"/>
      <c r="AQ53" s="89"/>
    </row>
    <row r="54" spans="1:43" ht="13.15" customHeight="1" x14ac:dyDescent="0.2">
      <c r="A54" s="20"/>
      <c r="B54" s="424"/>
      <c r="C54" s="28"/>
      <c r="D54" s="28"/>
      <c r="E54" s="320"/>
      <c r="F54" s="349"/>
      <c r="G54" s="349"/>
      <c r="H54" s="349"/>
      <c r="I54" s="349"/>
      <c r="J54" s="350"/>
      <c r="K54" s="124"/>
      <c r="L54" s="349"/>
      <c r="M54" s="349"/>
      <c r="N54" s="350"/>
      <c r="O54" s="110"/>
      <c r="P54" s="110"/>
      <c r="Q54" s="353"/>
      <c r="R54" s="352"/>
      <c r="S54" s="94"/>
      <c r="T54" s="95"/>
      <c r="U54" s="96"/>
      <c r="V54" s="21"/>
      <c r="W54" s="310"/>
      <c r="X54" s="310"/>
      <c r="Y54" s="311"/>
      <c r="Z54" s="311"/>
      <c r="AA54" s="311"/>
      <c r="AB54" s="311"/>
      <c r="AC54" s="311"/>
      <c r="AD54" s="311"/>
      <c r="AE54" s="310"/>
      <c r="AF54" s="311"/>
      <c r="AG54" s="311"/>
      <c r="AH54" s="311"/>
      <c r="AI54" s="310"/>
      <c r="AJ54" s="310"/>
      <c r="AK54" s="310"/>
      <c r="AL54" s="311"/>
      <c r="AM54" s="310"/>
      <c r="AN54" s="161"/>
      <c r="AO54" s="161"/>
      <c r="AP54" s="311"/>
      <c r="AQ54" s="89"/>
    </row>
    <row r="55" spans="1:43" ht="13.15" customHeight="1" x14ac:dyDescent="0.2">
      <c r="A55" s="19" t="s">
        <v>211</v>
      </c>
      <c r="B55" s="60"/>
      <c r="C55" s="29">
        <v>15</v>
      </c>
      <c r="D55" s="25">
        <v>200</v>
      </c>
      <c r="E55" s="561" t="s">
        <v>263</v>
      </c>
      <c r="F55" s="562"/>
      <c r="G55" s="562"/>
      <c r="H55" s="562"/>
      <c r="I55" s="562"/>
      <c r="J55" s="563"/>
      <c r="K55" s="564" t="s">
        <v>724</v>
      </c>
      <c r="L55" s="562"/>
      <c r="M55" s="562"/>
      <c r="N55" s="563"/>
      <c r="O55" s="97" t="s">
        <v>422</v>
      </c>
      <c r="P55" s="97"/>
      <c r="Q55" s="565" t="s">
        <v>339</v>
      </c>
      <c r="R55" s="566"/>
      <c r="S55" s="825" t="s">
        <v>669</v>
      </c>
      <c r="T55" s="552"/>
      <c r="U55" s="826"/>
      <c r="V55" s="21"/>
      <c r="W55" s="624" t="s">
        <v>259</v>
      </c>
      <c r="X55" s="551" t="s">
        <v>197</v>
      </c>
      <c r="Y55" s="552"/>
      <c r="Z55" s="552"/>
      <c r="AA55" s="552"/>
      <c r="AB55" s="552"/>
      <c r="AC55" s="552"/>
      <c r="AD55" s="553"/>
      <c r="AE55" s="557" t="s">
        <v>241</v>
      </c>
      <c r="AF55" s="552"/>
      <c r="AG55" s="552"/>
      <c r="AH55" s="553"/>
      <c r="AI55" s="559" t="s">
        <v>243</v>
      </c>
      <c r="AJ55" s="559" t="s">
        <v>242</v>
      </c>
      <c r="AK55" s="557" t="s">
        <v>244</v>
      </c>
      <c r="AL55" s="553"/>
      <c r="AM55" s="557" t="s">
        <v>245</v>
      </c>
      <c r="AN55" s="626"/>
      <c r="AO55" s="626"/>
      <c r="AP55" s="627"/>
      <c r="AQ55" s="89"/>
    </row>
    <row r="56" spans="1:43" ht="13.15" customHeight="1" x14ac:dyDescent="0.2">
      <c r="A56" s="19"/>
      <c r="B56" s="60"/>
      <c r="C56" s="24"/>
      <c r="D56" s="23"/>
      <c r="E56" s="520"/>
      <c r="F56" s="508"/>
      <c r="G56" s="508"/>
      <c r="H56" s="508"/>
      <c r="I56" s="508"/>
      <c r="J56" s="521"/>
      <c r="K56" s="517"/>
      <c r="L56" s="508"/>
      <c r="M56" s="508"/>
      <c r="N56" s="521"/>
      <c r="O56" s="165"/>
      <c r="P56" s="165"/>
      <c r="Q56" s="508"/>
      <c r="R56" s="508"/>
      <c r="S56" s="88"/>
      <c r="U56" s="89"/>
      <c r="V56" s="21"/>
      <c r="W56" s="625"/>
      <c r="X56" s="554"/>
      <c r="Y56" s="555"/>
      <c r="Z56" s="555"/>
      <c r="AA56" s="555"/>
      <c r="AB56" s="555"/>
      <c r="AC56" s="555"/>
      <c r="AD56" s="556"/>
      <c r="AE56" s="558"/>
      <c r="AF56" s="555"/>
      <c r="AG56" s="555"/>
      <c r="AH56" s="556"/>
      <c r="AI56" s="560"/>
      <c r="AJ56" s="560"/>
      <c r="AK56" s="558"/>
      <c r="AL56" s="556"/>
      <c r="AM56" s="628"/>
      <c r="AN56" s="586"/>
      <c r="AO56" s="586"/>
      <c r="AP56" s="629"/>
      <c r="AQ56" s="89"/>
    </row>
    <row r="57" spans="1:43" ht="13.15" customHeight="1" x14ac:dyDescent="0.2">
      <c r="A57" s="19"/>
      <c r="B57" s="60"/>
      <c r="C57" s="28"/>
      <c r="D57" s="27"/>
      <c r="E57" s="122"/>
      <c r="F57" s="123"/>
      <c r="G57" s="123"/>
      <c r="H57" s="123"/>
      <c r="I57" s="123"/>
      <c r="J57" s="112"/>
      <c r="K57" s="355"/>
      <c r="L57" s="123"/>
      <c r="M57" s="123"/>
      <c r="N57" s="112"/>
      <c r="O57" s="146"/>
      <c r="P57" s="146"/>
      <c r="Q57" s="123"/>
      <c r="R57" s="522"/>
      <c r="S57" s="88"/>
      <c r="U57" s="89"/>
      <c r="V57" s="21"/>
      <c r="W57" s="127" t="s">
        <v>390</v>
      </c>
      <c r="X57" s="630" t="s">
        <v>349</v>
      </c>
      <c r="Y57" s="552"/>
      <c r="Z57" s="552"/>
      <c r="AA57" s="552"/>
      <c r="AB57" s="552"/>
      <c r="AC57" s="552"/>
      <c r="AD57" s="553"/>
      <c r="AE57" s="572">
        <v>1.0345</v>
      </c>
      <c r="AF57" s="573"/>
      <c r="AG57" s="573"/>
      <c r="AH57" s="574"/>
      <c r="AI57" s="125" t="s">
        <v>236</v>
      </c>
      <c r="AJ57" s="125" t="s">
        <v>246</v>
      </c>
      <c r="AK57" s="575" t="s">
        <v>348</v>
      </c>
      <c r="AL57" s="576"/>
      <c r="AM57" s="90"/>
      <c r="AN57" s="91"/>
      <c r="AO57" s="91"/>
      <c r="AP57" s="129"/>
      <c r="AQ57" s="89"/>
    </row>
    <row r="58" spans="1:43" ht="13.15" customHeight="1" x14ac:dyDescent="0.2">
      <c r="A58" s="375" t="s">
        <v>547</v>
      </c>
      <c r="B58" s="462"/>
      <c r="C58" s="376"/>
      <c r="D58" s="376"/>
      <c r="E58" s="587"/>
      <c r="F58" s="588"/>
      <c r="G58" s="588"/>
      <c r="H58" s="588"/>
      <c r="I58" s="588"/>
      <c r="J58" s="589"/>
      <c r="K58" s="590"/>
      <c r="L58" s="588"/>
      <c r="M58" s="588"/>
      <c r="N58" s="589"/>
      <c r="O58" s="377" t="s">
        <v>422</v>
      </c>
      <c r="P58" s="377"/>
      <c r="Q58" s="591" t="s">
        <v>549</v>
      </c>
      <c r="R58" s="592"/>
      <c r="S58" s="378"/>
      <c r="T58" s="379"/>
      <c r="U58" s="380"/>
      <c r="V58" s="21"/>
      <c r="W58" s="128" t="s">
        <v>391</v>
      </c>
      <c r="X58" s="546" t="s">
        <v>350</v>
      </c>
      <c r="Y58" s="547"/>
      <c r="Z58" s="547"/>
      <c r="AA58" s="547"/>
      <c r="AB58" s="547"/>
      <c r="AC58" s="547"/>
      <c r="AD58" s="548"/>
      <c r="AE58" s="541">
        <v>1.0345</v>
      </c>
      <c r="AF58" s="542"/>
      <c r="AG58" s="542"/>
      <c r="AH58" s="543"/>
      <c r="AI58" s="126" t="s">
        <v>236</v>
      </c>
      <c r="AJ58" s="126" t="s">
        <v>246</v>
      </c>
      <c r="AK58" s="544" t="s">
        <v>348</v>
      </c>
      <c r="AL58" s="545"/>
      <c r="AM58" s="88"/>
      <c r="AP58" s="130"/>
      <c r="AQ58" s="89"/>
    </row>
    <row r="59" spans="1:43" ht="13.15" customHeight="1" x14ac:dyDescent="0.2">
      <c r="A59" s="26" t="s">
        <v>278</v>
      </c>
      <c r="B59" s="60"/>
      <c r="C59" s="24" t="s">
        <v>210</v>
      </c>
      <c r="D59" s="25">
        <v>50</v>
      </c>
      <c r="E59" s="561" t="s">
        <v>507</v>
      </c>
      <c r="F59" s="595"/>
      <c r="G59" s="595"/>
      <c r="H59" s="595"/>
      <c r="I59" s="595"/>
      <c r="J59" s="596"/>
      <c r="K59" s="597" t="s">
        <v>450</v>
      </c>
      <c r="L59" s="598"/>
      <c r="M59" s="598"/>
      <c r="N59" s="599"/>
      <c r="O59" s="97" t="s">
        <v>422</v>
      </c>
      <c r="P59" s="97" t="s">
        <v>283</v>
      </c>
      <c r="Q59" s="565" t="s">
        <v>266</v>
      </c>
      <c r="R59" s="566"/>
      <c r="S59" s="90"/>
      <c r="T59" s="91"/>
      <c r="U59" s="92"/>
      <c r="V59" s="21"/>
      <c r="W59" s="128" t="s">
        <v>345</v>
      </c>
      <c r="X59" s="546" t="s">
        <v>431</v>
      </c>
      <c r="Y59" s="547"/>
      <c r="Z59" s="547"/>
      <c r="AA59" s="547"/>
      <c r="AB59" s="547"/>
      <c r="AC59" s="547"/>
      <c r="AD59" s="548"/>
      <c r="AE59" s="541" t="s">
        <v>408</v>
      </c>
      <c r="AF59" s="542"/>
      <c r="AG59" s="542"/>
      <c r="AH59" s="543"/>
      <c r="AI59" s="126" t="s">
        <v>236</v>
      </c>
      <c r="AJ59" s="126" t="s">
        <v>328</v>
      </c>
      <c r="AK59" s="544" t="s">
        <v>347</v>
      </c>
      <c r="AL59" s="545"/>
      <c r="AM59" s="88"/>
      <c r="AP59" s="130"/>
      <c r="AQ59" s="89"/>
    </row>
    <row r="60" spans="1:43" ht="13.15" customHeight="1" x14ac:dyDescent="0.2">
      <c r="A60" s="178" t="s">
        <v>279</v>
      </c>
      <c r="B60" s="374"/>
      <c r="C60" s="24">
        <v>80</v>
      </c>
      <c r="D60" s="23" t="s">
        <v>277</v>
      </c>
      <c r="E60" s="619" t="s">
        <v>508</v>
      </c>
      <c r="F60" s="620"/>
      <c r="G60" s="620"/>
      <c r="H60" s="620"/>
      <c r="I60" s="620"/>
      <c r="J60" s="621"/>
      <c r="K60" s="567" t="s">
        <v>450</v>
      </c>
      <c r="L60" s="568"/>
      <c r="M60" s="568"/>
      <c r="N60" s="569"/>
      <c r="O60" s="98" t="s">
        <v>422</v>
      </c>
      <c r="P60" s="98" t="s">
        <v>283</v>
      </c>
      <c r="Q60" s="570" t="s">
        <v>266</v>
      </c>
      <c r="R60" s="571"/>
      <c r="S60" s="88"/>
      <c r="U60" s="89"/>
      <c r="V60" s="21"/>
      <c r="W60" s="128" t="s">
        <v>346</v>
      </c>
      <c r="X60" s="546" t="s">
        <v>432</v>
      </c>
      <c r="Y60" s="547"/>
      <c r="Z60" s="547"/>
      <c r="AA60" s="547"/>
      <c r="AB60" s="547"/>
      <c r="AC60" s="547"/>
      <c r="AD60" s="548"/>
      <c r="AE60" s="541" t="s">
        <v>408</v>
      </c>
      <c r="AF60" s="542"/>
      <c r="AG60" s="542"/>
      <c r="AH60" s="543"/>
      <c r="AI60" s="126" t="s">
        <v>236</v>
      </c>
      <c r="AJ60" s="126" t="s">
        <v>328</v>
      </c>
      <c r="AK60" s="544" t="s">
        <v>347</v>
      </c>
      <c r="AL60" s="545"/>
      <c r="AM60" s="329" t="s">
        <v>631</v>
      </c>
      <c r="AP60" s="130"/>
      <c r="AQ60" s="89"/>
    </row>
    <row r="61" spans="1:43" ht="13.15" customHeight="1" x14ac:dyDescent="0.2">
      <c r="A61" s="178" t="s">
        <v>280</v>
      </c>
      <c r="B61" s="374"/>
      <c r="C61" s="24"/>
      <c r="D61" s="23"/>
      <c r="E61" s="184"/>
      <c r="F61" s="179"/>
      <c r="G61" s="179"/>
      <c r="H61" s="179"/>
      <c r="I61" s="179"/>
      <c r="J61" s="179"/>
      <c r="K61" s="179"/>
      <c r="L61" s="179"/>
      <c r="M61" s="179"/>
      <c r="N61" s="179"/>
      <c r="O61" s="179"/>
      <c r="P61" s="179"/>
      <c r="Q61" s="179"/>
      <c r="R61" s="180"/>
      <c r="S61" s="88"/>
      <c r="U61" s="89"/>
      <c r="V61" s="21"/>
      <c r="W61" s="128" t="s">
        <v>328</v>
      </c>
      <c r="X61" s="546" t="s">
        <v>395</v>
      </c>
      <c r="Y61" s="547"/>
      <c r="Z61" s="547"/>
      <c r="AA61" s="547"/>
      <c r="AB61" s="547"/>
      <c r="AC61" s="547"/>
      <c r="AD61" s="548"/>
      <c r="AE61" s="541" t="s">
        <v>417</v>
      </c>
      <c r="AF61" s="542"/>
      <c r="AG61" s="542"/>
      <c r="AH61" s="543"/>
      <c r="AI61" s="126" t="s">
        <v>236</v>
      </c>
      <c r="AJ61" s="126" t="s">
        <v>328</v>
      </c>
      <c r="AK61" s="544" t="s">
        <v>347</v>
      </c>
      <c r="AL61" s="545"/>
      <c r="AM61" s="329" t="s">
        <v>631</v>
      </c>
      <c r="AP61" s="130"/>
      <c r="AQ61" s="89"/>
    </row>
    <row r="62" spans="1:43" ht="13.15" customHeight="1" x14ac:dyDescent="0.2">
      <c r="A62" s="178" t="s">
        <v>281</v>
      </c>
      <c r="B62" s="374"/>
      <c r="C62" s="24"/>
      <c r="D62" s="23"/>
      <c r="E62" s="155"/>
      <c r="F62" s="80"/>
      <c r="G62" s="80"/>
      <c r="H62" s="80"/>
      <c r="I62" s="80"/>
      <c r="J62" s="80"/>
      <c r="K62" s="80"/>
      <c r="L62" s="80"/>
      <c r="M62" s="80"/>
      <c r="N62" s="80"/>
      <c r="O62" s="80"/>
      <c r="P62" s="80"/>
      <c r="Q62" s="80"/>
      <c r="R62" s="80"/>
      <c r="S62" s="88"/>
      <c r="U62" s="89"/>
      <c r="V62" s="21"/>
      <c r="W62" s="128"/>
      <c r="X62" s="260"/>
      <c r="Y62" s="160"/>
      <c r="Z62" s="160"/>
      <c r="AA62" s="160"/>
      <c r="AB62" s="160"/>
      <c r="AE62" s="541"/>
      <c r="AF62" s="542"/>
      <c r="AG62" s="542"/>
      <c r="AH62" s="543"/>
      <c r="AI62" s="126"/>
      <c r="AJ62" s="126"/>
      <c r="AK62" s="544"/>
      <c r="AL62" s="545"/>
      <c r="AM62" s="88"/>
      <c r="AP62" s="130"/>
      <c r="AQ62" s="89"/>
    </row>
    <row r="63" spans="1:43" ht="13.15" customHeight="1" x14ac:dyDescent="0.2">
      <c r="A63" s="178" t="s">
        <v>282</v>
      </c>
      <c r="B63" s="374"/>
      <c r="C63" s="23"/>
      <c r="D63" s="22"/>
      <c r="E63" s="155"/>
      <c r="F63" s="80"/>
      <c r="G63" s="80"/>
      <c r="H63" s="80"/>
      <c r="I63" s="80"/>
      <c r="J63" s="80"/>
      <c r="K63" s="80"/>
      <c r="L63" s="80"/>
      <c r="M63" s="80"/>
      <c r="N63" s="80"/>
      <c r="O63" s="80"/>
      <c r="P63" s="80"/>
      <c r="Q63" s="80"/>
      <c r="R63" s="80"/>
      <c r="S63" s="94"/>
      <c r="T63" s="95"/>
      <c r="U63" s="96"/>
      <c r="V63" s="21"/>
      <c r="W63" s="132"/>
      <c r="X63" s="94"/>
      <c r="Y63" s="95"/>
      <c r="Z63" s="95"/>
      <c r="AA63" s="95"/>
      <c r="AB63" s="95"/>
      <c r="AC63" s="95"/>
      <c r="AD63" s="133"/>
      <c r="AE63" s="134"/>
      <c r="AF63" s="95"/>
      <c r="AG63" s="95"/>
      <c r="AH63" s="133"/>
      <c r="AI63" s="135"/>
      <c r="AJ63" s="135"/>
      <c r="AK63" s="134"/>
      <c r="AL63" s="131"/>
      <c r="AM63" s="95"/>
      <c r="AN63" s="95"/>
      <c r="AO63" s="95"/>
      <c r="AP63" s="131"/>
      <c r="AQ63" s="89"/>
    </row>
    <row r="64" spans="1:43" ht="13.15" customHeight="1" x14ac:dyDescent="0.2">
      <c r="A64" s="741" t="s">
        <v>621</v>
      </c>
      <c r="B64" s="742"/>
      <c r="C64" s="689"/>
      <c r="D64" s="689"/>
      <c r="E64" s="689"/>
      <c r="F64" s="689"/>
      <c r="G64" s="689"/>
      <c r="H64" s="689"/>
      <c r="I64" s="689"/>
      <c r="J64" s="689"/>
      <c r="K64" s="689"/>
      <c r="L64" s="689"/>
      <c r="M64" s="689"/>
      <c r="N64" s="689"/>
      <c r="O64" s="689"/>
      <c r="P64" s="689"/>
      <c r="Q64" s="689"/>
      <c r="R64" s="743"/>
      <c r="S64" s="327" t="s">
        <v>479</v>
      </c>
      <c r="T64" s="91"/>
      <c r="U64" s="92"/>
      <c r="V64" s="21"/>
      <c r="AQ64" s="89"/>
    </row>
    <row r="65" spans="1:43" ht="13.15" customHeight="1" x14ac:dyDescent="0.2">
      <c r="A65" s="744"/>
      <c r="B65" s="692"/>
      <c r="C65" s="692"/>
      <c r="D65" s="692"/>
      <c r="E65" s="692"/>
      <c r="F65" s="692"/>
      <c r="G65" s="692"/>
      <c r="H65" s="692"/>
      <c r="I65" s="692"/>
      <c r="J65" s="692"/>
      <c r="K65" s="692"/>
      <c r="L65" s="692"/>
      <c r="M65" s="692"/>
      <c r="N65" s="692"/>
      <c r="O65" s="692"/>
      <c r="P65" s="692"/>
      <c r="Q65" s="692"/>
      <c r="R65" s="745"/>
      <c r="S65" s="93" t="s">
        <v>480</v>
      </c>
      <c r="U65" s="89"/>
      <c r="V65" s="21"/>
      <c r="AQ65" s="89"/>
    </row>
    <row r="66" spans="1:43" ht="13.15" customHeight="1" x14ac:dyDescent="0.2">
      <c r="A66" s="744"/>
      <c r="B66" s="692"/>
      <c r="C66" s="692"/>
      <c r="D66" s="692"/>
      <c r="E66" s="692"/>
      <c r="F66" s="692"/>
      <c r="G66" s="692"/>
      <c r="H66" s="692"/>
      <c r="I66" s="692"/>
      <c r="J66" s="692"/>
      <c r="K66" s="692"/>
      <c r="L66" s="692"/>
      <c r="M66" s="692"/>
      <c r="N66" s="692"/>
      <c r="O66" s="692"/>
      <c r="P66" s="692"/>
      <c r="Q66" s="692"/>
      <c r="R66" s="745"/>
      <c r="S66" s="93" t="s">
        <v>486</v>
      </c>
      <c r="U66" s="89"/>
      <c r="V66" s="21"/>
      <c r="AQ66" s="89"/>
    </row>
    <row r="67" spans="1:43" ht="13.15" customHeight="1" x14ac:dyDescent="0.2">
      <c r="A67" s="744"/>
      <c r="B67" s="692"/>
      <c r="C67" s="692"/>
      <c r="D67" s="692"/>
      <c r="E67" s="692"/>
      <c r="F67" s="692"/>
      <c r="G67" s="692"/>
      <c r="H67" s="692"/>
      <c r="I67" s="692"/>
      <c r="J67" s="692"/>
      <c r="K67" s="692"/>
      <c r="L67" s="692"/>
      <c r="M67" s="692"/>
      <c r="N67" s="692"/>
      <c r="O67" s="692"/>
      <c r="P67" s="692"/>
      <c r="Q67" s="692"/>
      <c r="R67" s="745"/>
      <c r="S67" s="93" t="s">
        <v>487</v>
      </c>
      <c r="U67" s="89"/>
      <c r="V67" s="21"/>
      <c r="AQ67" s="89"/>
    </row>
    <row r="68" spans="1:43" ht="13.15" customHeight="1" x14ac:dyDescent="0.2">
      <c r="A68" s="744"/>
      <c r="B68" s="692"/>
      <c r="C68" s="692"/>
      <c r="D68" s="692"/>
      <c r="E68" s="692"/>
      <c r="F68" s="692"/>
      <c r="G68" s="692"/>
      <c r="H68" s="692"/>
      <c r="I68" s="692"/>
      <c r="J68" s="692"/>
      <c r="K68" s="692"/>
      <c r="L68" s="692"/>
      <c r="M68" s="692"/>
      <c r="N68" s="692"/>
      <c r="O68" s="692"/>
      <c r="P68" s="692"/>
      <c r="Q68" s="692"/>
      <c r="R68" s="745"/>
      <c r="S68" s="93" t="s">
        <v>488</v>
      </c>
      <c r="U68" s="89"/>
      <c r="V68" s="21"/>
      <c r="AQ68" s="89"/>
    </row>
    <row r="69" spans="1:43" ht="13.15" customHeight="1" x14ac:dyDescent="0.2">
      <c r="A69" s="744"/>
      <c r="B69" s="692"/>
      <c r="C69" s="692"/>
      <c r="D69" s="692"/>
      <c r="E69" s="692"/>
      <c r="F69" s="692"/>
      <c r="G69" s="692"/>
      <c r="H69" s="692"/>
      <c r="I69" s="692"/>
      <c r="J69" s="692"/>
      <c r="K69" s="692"/>
      <c r="L69" s="692"/>
      <c r="M69" s="692"/>
      <c r="N69" s="692"/>
      <c r="O69" s="692"/>
      <c r="P69" s="692"/>
      <c r="Q69" s="692"/>
      <c r="R69" s="745"/>
      <c r="S69" s="60" t="s">
        <v>499</v>
      </c>
      <c r="U69" s="89"/>
      <c r="V69" s="21"/>
      <c r="AQ69" s="89"/>
    </row>
    <row r="70" spans="1:43" ht="13.15" customHeight="1" x14ac:dyDescent="0.2">
      <c r="A70" s="622" t="s">
        <v>535</v>
      </c>
      <c r="B70" s="623"/>
      <c r="C70" s="623"/>
      <c r="D70" s="623"/>
      <c r="E70" s="623"/>
      <c r="F70" s="623"/>
      <c r="G70" s="623"/>
      <c r="H70" s="623"/>
      <c r="I70" s="623"/>
      <c r="J70" s="623"/>
      <c r="K70" s="623"/>
      <c r="L70" s="623"/>
      <c r="M70" s="623"/>
      <c r="N70" s="623"/>
      <c r="O70" s="623"/>
      <c r="P70" s="623"/>
      <c r="Q70" s="623"/>
      <c r="R70" s="623"/>
      <c r="S70" s="93" t="s">
        <v>498</v>
      </c>
      <c r="U70" s="89"/>
      <c r="V70" s="21"/>
      <c r="AQ70" s="89"/>
    </row>
    <row r="71" spans="1:43" ht="13.15" customHeight="1" x14ac:dyDescent="0.2">
      <c r="A71" s="19" t="s">
        <v>260</v>
      </c>
      <c r="B71" s="435"/>
      <c r="C71" s="583" t="s">
        <v>269</v>
      </c>
      <c r="D71" s="602"/>
      <c r="E71" s="602"/>
      <c r="F71" s="602"/>
      <c r="G71" s="602"/>
      <c r="H71" s="602"/>
      <c r="I71" s="602"/>
      <c r="J71" s="602"/>
      <c r="K71" s="602"/>
      <c r="L71" s="602"/>
      <c r="M71" s="602"/>
      <c r="N71" s="602"/>
      <c r="O71" s="602"/>
      <c r="P71" s="602"/>
      <c r="Q71" s="602"/>
      <c r="R71" s="602"/>
      <c r="S71" s="93" t="s">
        <v>489</v>
      </c>
      <c r="U71" s="89"/>
      <c r="V71" s="21"/>
      <c r="AQ71" s="89"/>
    </row>
    <row r="72" spans="1:43" ht="13.15" customHeight="1" x14ac:dyDescent="0.2">
      <c r="A72" s="375" t="s">
        <v>478</v>
      </c>
      <c r="B72" s="463"/>
      <c r="C72" s="587" t="s">
        <v>269</v>
      </c>
      <c r="D72" s="609"/>
      <c r="E72" s="609"/>
      <c r="F72" s="609"/>
      <c r="G72" s="609"/>
      <c r="H72" s="609"/>
      <c r="I72" s="609"/>
      <c r="J72" s="609"/>
      <c r="K72" s="609"/>
      <c r="L72" s="609"/>
      <c r="M72" s="609"/>
      <c r="N72" s="609"/>
      <c r="O72" s="609"/>
      <c r="P72" s="609"/>
      <c r="Q72" s="609"/>
      <c r="R72" s="609"/>
      <c r="S72" s="93" t="s">
        <v>490</v>
      </c>
      <c r="U72" s="89"/>
      <c r="V72" s="21"/>
      <c r="AQ72" s="89"/>
    </row>
    <row r="73" spans="1:43" ht="13.15" customHeight="1" x14ac:dyDescent="0.2">
      <c r="A73" s="19" t="s">
        <v>372</v>
      </c>
      <c r="B73" s="60"/>
      <c r="C73" s="583" t="s">
        <v>320</v>
      </c>
      <c r="D73" s="600"/>
      <c r="E73" s="600"/>
      <c r="F73" s="600"/>
      <c r="G73" s="600"/>
      <c r="H73" s="600"/>
      <c r="I73" s="600"/>
      <c r="J73" s="600"/>
      <c r="K73" s="600"/>
      <c r="L73" s="600"/>
      <c r="M73" s="600"/>
      <c r="N73" s="600"/>
      <c r="O73" s="600"/>
      <c r="P73" s="600"/>
      <c r="Q73" s="600"/>
      <c r="R73" s="600"/>
      <c r="S73" s="93" t="s">
        <v>491</v>
      </c>
      <c r="U73" s="89"/>
      <c r="V73" s="21"/>
      <c r="AQ73" s="89"/>
    </row>
    <row r="74" spans="1:43" ht="13.15" customHeight="1" x14ac:dyDescent="0.2">
      <c r="A74" s="19" t="s">
        <v>373</v>
      </c>
      <c r="B74" s="60"/>
      <c r="C74" s="610" t="s">
        <v>626</v>
      </c>
      <c r="D74" s="611"/>
      <c r="E74" s="611"/>
      <c r="F74" s="611"/>
      <c r="G74" s="611"/>
      <c r="H74" s="611"/>
      <c r="I74" s="611"/>
      <c r="J74" s="611"/>
      <c r="K74" s="611"/>
      <c r="L74" s="611"/>
      <c r="M74" s="611"/>
      <c r="N74" s="611"/>
      <c r="O74" s="611"/>
      <c r="P74" s="611"/>
      <c r="Q74" s="611"/>
      <c r="R74" s="612"/>
      <c r="S74" s="93" t="s">
        <v>492</v>
      </c>
      <c r="U74" s="89"/>
      <c r="V74" s="21"/>
      <c r="AQ74" s="89"/>
    </row>
    <row r="75" spans="1:43" ht="13.15" customHeight="1" x14ac:dyDescent="0.2">
      <c r="A75" s="19" t="s">
        <v>261</v>
      </c>
      <c r="B75" s="60"/>
      <c r="C75" s="610" t="s">
        <v>321</v>
      </c>
      <c r="D75" s="613"/>
      <c r="E75" s="613"/>
      <c r="F75" s="613"/>
      <c r="G75" s="613"/>
      <c r="H75" s="613"/>
      <c r="I75" s="613"/>
      <c r="J75" s="613"/>
      <c r="K75" s="613"/>
      <c r="L75" s="613"/>
      <c r="M75" s="613"/>
      <c r="N75" s="613"/>
      <c r="O75" s="613"/>
      <c r="P75" s="613"/>
      <c r="Q75" s="613"/>
      <c r="R75" s="614"/>
      <c r="S75" s="93" t="s">
        <v>493</v>
      </c>
      <c r="U75" s="89"/>
      <c r="V75" s="21"/>
      <c r="AQ75" s="89"/>
    </row>
    <row r="76" spans="1:43" ht="13.15" customHeight="1" x14ac:dyDescent="0.2">
      <c r="A76" s="19" t="s">
        <v>262</v>
      </c>
      <c r="B76" s="60"/>
      <c r="C76" s="583" t="s">
        <v>324</v>
      </c>
      <c r="D76" s="600"/>
      <c r="E76" s="600"/>
      <c r="F76" s="600"/>
      <c r="G76" s="600"/>
      <c r="H76" s="600"/>
      <c r="I76" s="600"/>
      <c r="J76" s="600"/>
      <c r="K76" s="600"/>
      <c r="L76" s="600"/>
      <c r="M76" s="600"/>
      <c r="N76" s="600"/>
      <c r="O76" s="600"/>
      <c r="P76" s="600"/>
      <c r="Q76" s="600"/>
      <c r="R76" s="600"/>
      <c r="S76" s="88"/>
      <c r="U76" s="89"/>
      <c r="V76" s="21"/>
      <c r="AQ76" s="89"/>
    </row>
    <row r="77" spans="1:43" ht="13.15" customHeight="1" x14ac:dyDescent="0.2">
      <c r="A77" s="19"/>
      <c r="B77" s="60"/>
      <c r="C77" s="583" t="s">
        <v>228</v>
      </c>
      <c r="D77" s="600"/>
      <c r="E77" s="600"/>
      <c r="F77" s="600"/>
      <c r="G77" s="600"/>
      <c r="H77" s="600"/>
      <c r="I77" s="600"/>
      <c r="J77" s="600"/>
      <c r="K77" s="600"/>
      <c r="L77" s="600"/>
      <c r="M77" s="600"/>
      <c r="N77" s="600"/>
      <c r="O77" s="600"/>
      <c r="P77" s="600"/>
      <c r="Q77" s="600"/>
      <c r="R77" s="600"/>
      <c r="S77" s="88"/>
      <c r="U77" s="89"/>
      <c r="V77" s="21"/>
      <c r="AQ77" s="89"/>
    </row>
    <row r="78" spans="1:43" ht="13.15" customHeight="1" thickBot="1" x14ac:dyDescent="0.25">
      <c r="A78" s="19"/>
      <c r="B78" s="60"/>
      <c r="C78" s="583" t="s">
        <v>270</v>
      </c>
      <c r="D78" s="602"/>
      <c r="E78" s="602"/>
      <c r="F78" s="602"/>
      <c r="G78" s="602"/>
      <c r="H78" s="602"/>
      <c r="I78" s="602"/>
      <c r="J78" s="602"/>
      <c r="K78" s="602"/>
      <c r="L78" s="602"/>
      <c r="M78" s="602"/>
      <c r="N78" s="602"/>
      <c r="O78" s="602"/>
      <c r="P78" s="602"/>
      <c r="Q78" s="602"/>
      <c r="R78" s="602"/>
      <c r="S78" s="326"/>
      <c r="T78" s="143"/>
      <c r="U78" s="144"/>
      <c r="V78" s="21"/>
      <c r="W78" s="143"/>
      <c r="X78" s="143"/>
      <c r="Y78" s="143"/>
      <c r="Z78" s="143"/>
      <c r="AA78" s="143"/>
      <c r="AB78" s="143"/>
      <c r="AC78" s="143"/>
      <c r="AD78" s="143"/>
      <c r="AE78" s="143"/>
      <c r="AF78" s="143"/>
      <c r="AG78" s="143"/>
      <c r="AH78" s="143"/>
      <c r="AI78" s="143"/>
      <c r="AJ78" s="143"/>
      <c r="AK78" s="143"/>
      <c r="AL78" s="143"/>
      <c r="AM78" s="143"/>
      <c r="AN78" s="143"/>
      <c r="AO78" s="143"/>
      <c r="AP78" s="143"/>
      <c r="AQ78" s="89"/>
    </row>
    <row r="79" spans="1:43" ht="13.15" customHeight="1" x14ac:dyDescent="0.2">
      <c r="A79" s="162" t="s">
        <v>209</v>
      </c>
      <c r="B79" s="464"/>
      <c r="C79" s="18" t="s">
        <v>208</v>
      </c>
      <c r="D79" s="16"/>
      <c r="E79" s="18" t="s">
        <v>207</v>
      </c>
      <c r="F79" s="18"/>
      <c r="G79" s="18" t="s">
        <v>206</v>
      </c>
      <c r="H79" s="17" t="e">
        <f>#REF!</f>
        <v>#REF!</v>
      </c>
      <c r="I79" s="16"/>
      <c r="J79" s="16"/>
      <c r="K79" s="16"/>
      <c r="L79" s="16"/>
      <c r="M79" s="16"/>
      <c r="N79" s="16"/>
      <c r="O79" s="16"/>
      <c r="P79" s="16"/>
      <c r="Q79" s="16"/>
      <c r="R79" s="16"/>
      <c r="S79" s="103"/>
      <c r="T79" s="103"/>
      <c r="U79" s="145"/>
      <c r="V79" s="162" t="s">
        <v>209</v>
      </c>
      <c r="W79" s="16"/>
      <c r="X79" s="163"/>
      <c r="Y79" s="18" t="s">
        <v>208</v>
      </c>
      <c r="Z79" s="16"/>
      <c r="AA79" s="18" t="s">
        <v>207</v>
      </c>
      <c r="AB79" s="18"/>
      <c r="AC79" s="18" t="s">
        <v>206</v>
      </c>
      <c r="AD79" s="17" t="e">
        <f>H79</f>
        <v>#REF!</v>
      </c>
      <c r="AE79" s="16"/>
      <c r="AF79" s="16"/>
      <c r="AG79" s="16"/>
      <c r="AH79" s="16"/>
      <c r="AI79" s="16"/>
      <c r="AJ79" s="16"/>
      <c r="AK79" s="16"/>
      <c r="AL79" s="16"/>
      <c r="AM79" s="16"/>
      <c r="AN79" s="103"/>
      <c r="AO79" s="103"/>
      <c r="AP79" s="103"/>
      <c r="AQ79" s="145"/>
    </row>
    <row r="80" spans="1:43" ht="13.15" customHeight="1" thickBot="1" x14ac:dyDescent="0.25">
      <c r="A80" s="159" t="e">
        <f>#REF!</f>
        <v>#REF!</v>
      </c>
      <c r="B80" s="175"/>
      <c r="C80" s="603" t="e">
        <f>#REF!</f>
        <v>#REF!</v>
      </c>
      <c r="D80" s="604"/>
      <c r="E80" s="605" t="e">
        <f>#REF!</f>
        <v>#REF!</v>
      </c>
      <c r="F80" s="606"/>
      <c r="G80" s="15"/>
      <c r="H80" s="14"/>
      <c r="I80" s="14"/>
      <c r="J80" s="14"/>
      <c r="K80" s="14"/>
      <c r="L80" s="14"/>
      <c r="M80" s="14"/>
      <c r="N80" s="14"/>
      <c r="O80" s="14"/>
      <c r="P80" s="14"/>
      <c r="Q80" s="14"/>
      <c r="R80" s="14"/>
      <c r="S80" s="143"/>
      <c r="T80" s="143"/>
      <c r="U80" s="144"/>
      <c r="V80" s="121"/>
      <c r="W80" s="14" t="e">
        <f>A80</f>
        <v>#REF!</v>
      </c>
      <c r="X80" s="164"/>
      <c r="Y80" s="603" t="e">
        <f>C80</f>
        <v>#REF!</v>
      </c>
      <c r="Z80" s="607"/>
      <c r="AA80" s="605" t="e">
        <f>E80</f>
        <v>#REF!</v>
      </c>
      <c r="AB80" s="608"/>
      <c r="AC80" s="15"/>
      <c r="AD80" s="14"/>
      <c r="AE80" s="14"/>
      <c r="AF80" s="14"/>
      <c r="AG80" s="14"/>
      <c r="AH80" s="14"/>
      <c r="AI80" s="14"/>
      <c r="AJ80" s="14"/>
      <c r="AK80" s="14"/>
      <c r="AL80" s="14"/>
      <c r="AM80" s="14"/>
      <c r="AN80" s="143"/>
      <c r="AO80" s="143"/>
      <c r="AP80" s="143"/>
      <c r="AQ80" s="144"/>
    </row>
  </sheetData>
  <mergeCells count="141">
    <mergeCell ref="AA80:AB80"/>
    <mergeCell ref="C76:R76"/>
    <mergeCell ref="C77:R77"/>
    <mergeCell ref="C78:R78"/>
    <mergeCell ref="C80:D80"/>
    <mergeCell ref="E80:F80"/>
    <mergeCell ref="Y80:Z80"/>
    <mergeCell ref="A70:R70"/>
    <mergeCell ref="C71:R71"/>
    <mergeCell ref="C72:R72"/>
    <mergeCell ref="C73:R73"/>
    <mergeCell ref="C74:R74"/>
    <mergeCell ref="C75:R75"/>
    <mergeCell ref="X61:AD61"/>
    <mergeCell ref="AE61:AH61"/>
    <mergeCell ref="AK61:AL61"/>
    <mergeCell ref="AE62:AH62"/>
    <mergeCell ref="AK62:AL62"/>
    <mergeCell ref="A64:R69"/>
    <mergeCell ref="E60:J60"/>
    <mergeCell ref="K60:N60"/>
    <mergeCell ref="Q60:R60"/>
    <mergeCell ref="X60:AD60"/>
    <mergeCell ref="AE60:AH60"/>
    <mergeCell ref="AK60:AL60"/>
    <mergeCell ref="E59:J59"/>
    <mergeCell ref="K59:N59"/>
    <mergeCell ref="Q59:R59"/>
    <mergeCell ref="X59:AD59"/>
    <mergeCell ref="AE59:AH59"/>
    <mergeCell ref="AK59:AL59"/>
    <mergeCell ref="E58:J58"/>
    <mergeCell ref="K58:N58"/>
    <mergeCell ref="Q58:R58"/>
    <mergeCell ref="X58:AD58"/>
    <mergeCell ref="AE58:AH58"/>
    <mergeCell ref="AK58:AL58"/>
    <mergeCell ref="X57:AD57"/>
    <mergeCell ref="AE57:AH57"/>
    <mergeCell ref="AK57:AL57"/>
    <mergeCell ref="W55:W56"/>
    <mergeCell ref="X55:AD56"/>
    <mergeCell ref="AE55:AH56"/>
    <mergeCell ref="AI55:AI56"/>
    <mergeCell ref="AJ55:AJ56"/>
    <mergeCell ref="AK55:AL56"/>
    <mergeCell ref="E55:J55"/>
    <mergeCell ref="K55:N55"/>
    <mergeCell ref="Q55:R55"/>
    <mergeCell ref="E53:J53"/>
    <mergeCell ref="K53:N53"/>
    <mergeCell ref="Q53:R53"/>
    <mergeCell ref="S55:U55"/>
    <mergeCell ref="AM55:AP56"/>
    <mergeCell ref="E48:J48"/>
    <mergeCell ref="K48:N48"/>
    <mergeCell ref="Q48:R48"/>
    <mergeCell ref="E51:J51"/>
    <mergeCell ref="K51:N51"/>
    <mergeCell ref="Q51:R51"/>
    <mergeCell ref="Q40:R40"/>
    <mergeCell ref="E42:J42"/>
    <mergeCell ref="K42:N42"/>
    <mergeCell ref="Q42:R42"/>
    <mergeCell ref="E45:J45"/>
    <mergeCell ref="K45:N45"/>
    <mergeCell ref="Q45:R45"/>
    <mergeCell ref="S39:U40"/>
    <mergeCell ref="E40:J40"/>
    <mergeCell ref="K40:N40"/>
    <mergeCell ref="S29:S38"/>
    <mergeCell ref="E30:J30"/>
    <mergeCell ref="K30:N30"/>
    <mergeCell ref="Q30:R30"/>
    <mergeCell ref="E31:J31"/>
    <mergeCell ref="K31:N31"/>
    <mergeCell ref="Q31:R31"/>
    <mergeCell ref="E33:J33"/>
    <mergeCell ref="K33:N33"/>
    <mergeCell ref="Q33:R33"/>
    <mergeCell ref="E36:J36"/>
    <mergeCell ref="K36:N36"/>
    <mergeCell ref="Q36:R36"/>
    <mergeCell ref="E37:J37"/>
    <mergeCell ref="E19:J19"/>
    <mergeCell ref="K25:N25"/>
    <mergeCell ref="Q25:R25"/>
    <mergeCell ref="E38:J38"/>
    <mergeCell ref="K38:N38"/>
    <mergeCell ref="Q38:R38"/>
    <mergeCell ref="E39:J39"/>
    <mergeCell ref="K39:N39"/>
    <mergeCell ref="Q39:R39"/>
    <mergeCell ref="E26:J26"/>
    <mergeCell ref="K26:N26"/>
    <mergeCell ref="Q26:R26"/>
    <mergeCell ref="E29:J29"/>
    <mergeCell ref="K29:N29"/>
    <mergeCell ref="Q29:R29"/>
    <mergeCell ref="E24:J24"/>
    <mergeCell ref="K24:N24"/>
    <mergeCell ref="Q24:R24"/>
    <mergeCell ref="E25:J25"/>
    <mergeCell ref="C7:D7"/>
    <mergeCell ref="F7:I7"/>
    <mergeCell ref="Y7:Z7"/>
    <mergeCell ref="AB7:AE7"/>
    <mergeCell ref="C11:N11"/>
    <mergeCell ref="C17:D17"/>
    <mergeCell ref="E17:J18"/>
    <mergeCell ref="K17:N18"/>
    <mergeCell ref="O17:O18"/>
    <mergeCell ref="P17:P18"/>
    <mergeCell ref="S17:U18"/>
    <mergeCell ref="O10:U12"/>
    <mergeCell ref="O15:U16"/>
    <mergeCell ref="Q17:R18"/>
    <mergeCell ref="X39:AP39"/>
    <mergeCell ref="X18:AP18"/>
    <mergeCell ref="J6:K6"/>
    <mergeCell ref="AF6:AG6"/>
    <mergeCell ref="E21:J21"/>
    <mergeCell ref="K21:N21"/>
    <mergeCell ref="Q21:R21"/>
    <mergeCell ref="E22:J22"/>
    <mergeCell ref="K22:N22"/>
    <mergeCell ref="Q22:R22"/>
    <mergeCell ref="V19:V37"/>
    <mergeCell ref="K37:N37"/>
    <mergeCell ref="Q37:R37"/>
    <mergeCell ref="E34:J34"/>
    <mergeCell ref="K34:N34"/>
    <mergeCell ref="Q34:R34"/>
    <mergeCell ref="E35:J35"/>
    <mergeCell ref="K35:N35"/>
    <mergeCell ref="Q35:R35"/>
    <mergeCell ref="K19:N19"/>
    <mergeCell ref="Q19:R19"/>
    <mergeCell ref="E20:J20"/>
    <mergeCell ref="K20:N20"/>
    <mergeCell ref="Q20:R20"/>
  </mergeCells>
  <pageMargins left="0.70866141732283472" right="0.15748031496062992" top="0.51181102362204722" bottom="0.43307086614173229" header="0.27559055118110237" footer="0.27559055118110237"/>
  <pageSetup paperSize="9" scale="75" pageOrder="overThenDown" orientation="portrait" r:id="rId1"/>
  <headerFooter alignWithMargins="0">
    <oddHeader>&amp;LPIRS Vorlagen-Projekt&amp;C&amp;8Project: Template&amp;R&amp;G</oddHeader>
    <oddFooter xml:space="preserve">&amp;L&amp;8 &amp;F _&amp;A&amp;R&amp;8Page &amp;P+8 of [&amp;N+8] </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02CB2-3F38-4074-A970-CA3E4F192B26}">
  <sheetPr codeName="Tabelle26"/>
  <dimension ref="A1:AQ80"/>
  <sheetViews>
    <sheetView showWhiteSpace="0" view="pageLayout" zoomScaleNormal="100" workbookViewId="0">
      <selection activeCell="AL2" sqref="AL2:AL4"/>
    </sheetView>
  </sheetViews>
  <sheetFormatPr defaultColWidth="0" defaultRowHeight="12.75" x14ac:dyDescent="0.2"/>
  <cols>
    <col min="1" max="1" width="14.28515625" style="13" customWidth="1"/>
    <col min="2" max="2" width="3.5703125" style="13" customWidth="1"/>
    <col min="3" max="21" width="5.7109375" style="13" customWidth="1"/>
    <col min="22" max="22" width="4.140625" style="13" customWidth="1"/>
    <col min="23" max="23" width="6.140625" style="13" customWidth="1"/>
    <col min="24" max="42" width="5.7109375" style="13" customWidth="1"/>
    <col min="43" max="59" width="6.140625" style="13" customWidth="1"/>
    <col min="60" max="16384" width="0" style="13" hidden="1"/>
  </cols>
  <sheetData>
    <row r="1" spans="1:43" ht="13.15" customHeight="1" x14ac:dyDescent="0.2">
      <c r="A1" s="73"/>
      <c r="B1" s="72"/>
      <c r="C1" s="72"/>
      <c r="D1" s="71"/>
      <c r="E1" s="16"/>
      <c r="F1" s="16"/>
      <c r="G1" s="16"/>
      <c r="H1" s="16"/>
      <c r="I1" s="16"/>
      <c r="J1" s="16"/>
      <c r="K1" s="114" t="s">
        <v>253</v>
      </c>
      <c r="L1" s="116"/>
      <c r="M1" s="70"/>
      <c r="N1" s="71"/>
      <c r="O1" s="71"/>
      <c r="P1" s="16" t="s">
        <v>718</v>
      </c>
      <c r="Q1" s="69"/>
      <c r="R1" s="68" t="s">
        <v>230</v>
      </c>
      <c r="S1" s="68"/>
      <c r="T1" s="67" t="s">
        <v>342</v>
      </c>
      <c r="U1" s="66"/>
      <c r="V1" s="162"/>
      <c r="W1" s="16"/>
      <c r="X1" s="72"/>
      <c r="Y1" s="72"/>
      <c r="Z1" s="71"/>
      <c r="AA1" s="16"/>
      <c r="AB1" s="16"/>
      <c r="AC1" s="16"/>
      <c r="AD1" s="16"/>
      <c r="AE1" s="16"/>
      <c r="AF1" s="231"/>
      <c r="AG1" s="230" t="s">
        <v>253</v>
      </c>
      <c r="AH1" s="70"/>
      <c r="AI1" s="16"/>
      <c r="AJ1" s="16"/>
      <c r="AK1" s="16"/>
      <c r="AL1" s="68" t="str">
        <f>P1</f>
        <v>PT05</v>
      </c>
      <c r="AM1" s="69"/>
      <c r="AN1" s="68" t="s">
        <v>230</v>
      </c>
      <c r="AO1" s="68"/>
      <c r="AP1" s="67" t="str">
        <f>T1</f>
        <v>4E0 (1.5415)</v>
      </c>
      <c r="AQ1" s="66"/>
    </row>
    <row r="2" spans="1:43" ht="13.15" customHeight="1" x14ac:dyDescent="0.2">
      <c r="A2" s="63" t="s">
        <v>276</v>
      </c>
      <c r="B2" s="61"/>
      <c r="C2" s="62" t="s">
        <v>290</v>
      </c>
      <c r="D2" s="61"/>
      <c r="E2" s="60"/>
      <c r="F2" s="60"/>
      <c r="G2" s="60"/>
      <c r="H2" s="60"/>
      <c r="I2" s="60"/>
      <c r="J2" s="59"/>
      <c r="K2" s="100" t="s">
        <v>232</v>
      </c>
      <c r="L2" s="74"/>
      <c r="M2" s="81"/>
      <c r="N2" s="341"/>
      <c r="O2" s="341"/>
      <c r="P2" s="523">
        <v>101</v>
      </c>
      <c r="Q2" s="58" t="s">
        <v>231</v>
      </c>
      <c r="R2" s="65" t="s">
        <v>252</v>
      </c>
      <c r="S2" s="65"/>
      <c r="T2" s="81" t="s">
        <v>459</v>
      </c>
      <c r="U2" s="64"/>
      <c r="V2" s="19" t="s">
        <v>276</v>
      </c>
      <c r="W2" s="60"/>
      <c r="X2" s="61"/>
      <c r="Y2" s="62" t="str">
        <f>C2</f>
        <v>Feedwater Discharge (T ≥ 100°C ÷ T ≤ 200°C)</v>
      </c>
      <c r="Z2" s="61"/>
      <c r="AA2" s="60"/>
      <c r="AB2" s="60"/>
      <c r="AC2" s="60"/>
      <c r="AD2" s="60"/>
      <c r="AE2" s="60"/>
      <c r="AF2" s="130"/>
      <c r="AG2" s="81" t="s">
        <v>232</v>
      </c>
      <c r="AH2" s="81"/>
      <c r="AI2" s="65"/>
      <c r="AJ2" s="65"/>
      <c r="AK2" s="65"/>
      <c r="AL2" s="523">
        <f>P2</f>
        <v>101</v>
      </c>
      <c r="AM2" s="58" t="s">
        <v>231</v>
      </c>
      <c r="AN2" s="65" t="s">
        <v>252</v>
      </c>
      <c r="AO2" s="65"/>
      <c r="AP2" s="81" t="str">
        <f>T2</f>
        <v>EN PN100</v>
      </c>
      <c r="AQ2" s="64"/>
    </row>
    <row r="3" spans="1:43" ht="13.15" customHeight="1" x14ac:dyDescent="0.2">
      <c r="A3" s="63"/>
      <c r="B3" s="61"/>
      <c r="C3" s="62"/>
      <c r="D3" s="61"/>
      <c r="E3" s="60"/>
      <c r="F3" s="60"/>
      <c r="G3" s="60"/>
      <c r="H3" s="60"/>
      <c r="I3" s="60"/>
      <c r="J3" s="59"/>
      <c r="K3" s="100" t="s">
        <v>233</v>
      </c>
      <c r="L3" s="75"/>
      <c r="M3" s="101"/>
      <c r="N3" s="341"/>
      <c r="O3" s="341"/>
      <c r="P3" s="523">
        <v>200</v>
      </c>
      <c r="Q3" s="58" t="s">
        <v>223</v>
      </c>
      <c r="R3" s="76" t="s">
        <v>229</v>
      </c>
      <c r="S3" s="77"/>
      <c r="T3" s="81" t="s">
        <v>227</v>
      </c>
      <c r="U3" s="57"/>
      <c r="V3" s="51"/>
      <c r="W3" s="80"/>
      <c r="X3" s="61"/>
      <c r="Y3" s="62"/>
      <c r="Z3" s="61"/>
      <c r="AA3" s="60"/>
      <c r="AB3" s="60"/>
      <c r="AC3" s="60"/>
      <c r="AD3" s="60"/>
      <c r="AE3" s="60"/>
      <c r="AF3" s="130"/>
      <c r="AG3" s="81" t="s">
        <v>233</v>
      </c>
      <c r="AH3" s="101"/>
      <c r="AI3" s="65"/>
      <c r="AJ3" s="65"/>
      <c r="AK3" s="65"/>
      <c r="AL3" s="523">
        <f>P3</f>
        <v>200</v>
      </c>
      <c r="AM3" s="58" t="s">
        <v>223</v>
      </c>
      <c r="AN3" s="76" t="s">
        <v>229</v>
      </c>
      <c r="AO3" s="77"/>
      <c r="AP3" s="81" t="str">
        <f>T3</f>
        <v>seamless</v>
      </c>
      <c r="AQ3" s="57"/>
    </row>
    <row r="4" spans="1:43" ht="13.15" customHeight="1" thickBot="1" x14ac:dyDescent="0.25">
      <c r="A4" s="56"/>
      <c r="B4" s="55"/>
      <c r="C4" s="55"/>
      <c r="D4" s="54"/>
      <c r="E4" s="53"/>
      <c r="F4" s="53"/>
      <c r="G4" s="53"/>
      <c r="H4" s="14"/>
      <c r="I4" s="14"/>
      <c r="J4" s="52"/>
      <c r="K4" s="60" t="s">
        <v>226</v>
      </c>
      <c r="L4" s="81"/>
      <c r="M4" s="102"/>
      <c r="N4" s="61"/>
      <c r="O4" s="61"/>
      <c r="P4" s="524">
        <v>156.30000000000001</v>
      </c>
      <c r="Q4" s="58" t="s">
        <v>235</v>
      </c>
      <c r="R4" s="82" t="s">
        <v>234</v>
      </c>
      <c r="S4" s="83"/>
      <c r="T4" s="113" t="s">
        <v>471</v>
      </c>
      <c r="U4" s="79"/>
      <c r="V4" s="119"/>
      <c r="W4" s="166"/>
      <c r="X4" s="55"/>
      <c r="Y4" s="55"/>
      <c r="Z4" s="54"/>
      <c r="AA4" s="53"/>
      <c r="AB4" s="53"/>
      <c r="AC4" s="53"/>
      <c r="AD4" s="14"/>
      <c r="AE4" s="14"/>
      <c r="AF4" s="232"/>
      <c r="AG4" s="60" t="s">
        <v>226</v>
      </c>
      <c r="AH4" s="102"/>
      <c r="AI4" s="60"/>
      <c r="AJ4" s="60"/>
      <c r="AK4" s="60"/>
      <c r="AL4" s="525">
        <f>P4</f>
        <v>156.30000000000001</v>
      </c>
      <c r="AM4" s="58" t="s">
        <v>235</v>
      </c>
      <c r="AN4" s="82" t="s">
        <v>234</v>
      </c>
      <c r="AO4" s="83"/>
      <c r="AP4" s="113" t="str">
        <f>T4</f>
        <v>EDHA</v>
      </c>
      <c r="AQ4" s="79"/>
    </row>
    <row r="5" spans="1:43" ht="13.15" customHeight="1" x14ac:dyDescent="0.2">
      <c r="A5" s="51" t="s">
        <v>225</v>
      </c>
      <c r="B5" s="80"/>
      <c r="C5" s="50" t="s">
        <v>224</v>
      </c>
      <c r="D5" s="49" t="s">
        <v>223</v>
      </c>
      <c r="E5" s="48"/>
      <c r="F5" s="47" t="s">
        <v>303</v>
      </c>
      <c r="G5" s="47">
        <v>100</v>
      </c>
      <c r="H5" s="47">
        <v>150</v>
      </c>
      <c r="I5" s="197">
        <v>200</v>
      </c>
      <c r="J5" s="224"/>
      <c r="K5" s="107"/>
      <c r="L5" s="196"/>
      <c r="M5" s="47"/>
      <c r="N5" s="47"/>
      <c r="O5" s="47"/>
      <c r="P5" s="47"/>
      <c r="Q5" s="47"/>
      <c r="R5" s="104"/>
      <c r="S5" s="107"/>
      <c r="T5" s="107"/>
      <c r="U5" s="105"/>
      <c r="V5" s="51" t="s">
        <v>225</v>
      </c>
      <c r="W5" s="80"/>
      <c r="X5" s="80"/>
      <c r="Y5" s="50" t="s">
        <v>224</v>
      </c>
      <c r="Z5" s="49" t="s">
        <v>223</v>
      </c>
      <c r="AA5" s="48"/>
      <c r="AB5" s="47" t="s">
        <v>303</v>
      </c>
      <c r="AC5" s="47">
        <v>100</v>
      </c>
      <c r="AD5" s="47">
        <v>150</v>
      </c>
      <c r="AE5" s="197">
        <v>200</v>
      </c>
      <c r="AF5" s="224"/>
      <c r="AG5" s="107"/>
      <c r="AH5" s="196"/>
      <c r="AI5" s="47"/>
      <c r="AJ5" s="47"/>
      <c r="AK5" s="47"/>
      <c r="AL5" s="47"/>
      <c r="AM5" s="47"/>
      <c r="AN5" s="104"/>
      <c r="AO5" s="107"/>
      <c r="AP5" s="107"/>
      <c r="AQ5" s="105"/>
    </row>
    <row r="6" spans="1:43" ht="20.25" customHeight="1" x14ac:dyDescent="0.2">
      <c r="A6" s="51"/>
      <c r="B6" s="80"/>
      <c r="C6" s="185" t="s">
        <v>285</v>
      </c>
      <c r="D6" s="186" t="s">
        <v>235</v>
      </c>
      <c r="E6" s="187" t="s">
        <v>502</v>
      </c>
      <c r="F6" s="218">
        <v>100</v>
      </c>
      <c r="G6" s="218">
        <v>100</v>
      </c>
      <c r="H6" s="243">
        <v>100</v>
      </c>
      <c r="I6" s="198">
        <v>100</v>
      </c>
      <c r="J6" s="852" t="s">
        <v>555</v>
      </c>
      <c r="K6" s="687"/>
      <c r="L6" s="199"/>
      <c r="M6" s="188"/>
      <c r="N6" s="188"/>
      <c r="O6" s="188"/>
      <c r="P6" s="188"/>
      <c r="Q6" s="188"/>
      <c r="R6" s="189"/>
      <c r="S6" s="190"/>
      <c r="T6" s="190"/>
      <c r="U6" s="191"/>
      <c r="V6" s="21"/>
      <c r="X6" s="80"/>
      <c r="Y6" s="185" t="s">
        <v>285</v>
      </c>
      <c r="Z6" s="186" t="s">
        <v>235</v>
      </c>
      <c r="AA6" s="187" t="s">
        <v>502</v>
      </c>
      <c r="AB6" s="218">
        <v>100</v>
      </c>
      <c r="AC6" s="218">
        <v>100</v>
      </c>
      <c r="AD6" s="243">
        <v>100</v>
      </c>
      <c r="AE6" s="198">
        <v>100</v>
      </c>
      <c r="AF6" s="852" t="s">
        <v>555</v>
      </c>
      <c r="AG6" s="687"/>
      <c r="AH6" s="199"/>
      <c r="AI6" s="188"/>
      <c r="AJ6" s="188"/>
      <c r="AK6" s="188"/>
      <c r="AL6" s="188"/>
      <c r="AM6" s="188"/>
      <c r="AN6" s="189"/>
      <c r="AO6" s="190"/>
      <c r="AP6" s="190"/>
      <c r="AQ6" s="191"/>
    </row>
    <row r="7" spans="1:43" ht="12.75" customHeight="1" thickBot="1" x14ac:dyDescent="0.25">
      <c r="A7" s="46"/>
      <c r="B7" s="120"/>
      <c r="C7" s="671" t="s">
        <v>284</v>
      </c>
      <c r="D7" s="672"/>
      <c r="E7" s="45"/>
      <c r="F7" s="836" t="s">
        <v>286</v>
      </c>
      <c r="G7" s="674"/>
      <c r="H7" s="674"/>
      <c r="I7" s="837"/>
      <c r="J7" s="257"/>
      <c r="K7" s="202"/>
      <c r="L7" s="201"/>
      <c r="M7" s="201"/>
      <c r="N7" s="201"/>
      <c r="O7" s="201"/>
      <c r="P7" s="201"/>
      <c r="Q7" s="201"/>
      <c r="R7" s="201"/>
      <c r="S7" s="202"/>
      <c r="T7" s="202"/>
      <c r="U7" s="106"/>
      <c r="V7" s="121"/>
      <c r="W7" s="143"/>
      <c r="X7" s="193"/>
      <c r="Y7" s="671" t="s">
        <v>284</v>
      </c>
      <c r="Z7" s="672"/>
      <c r="AA7" s="45"/>
      <c r="AB7" s="836" t="s">
        <v>286</v>
      </c>
      <c r="AC7" s="674"/>
      <c r="AD7" s="674"/>
      <c r="AE7" s="837"/>
      <c r="AF7" s="257"/>
      <c r="AG7" s="202"/>
      <c r="AH7" s="201"/>
      <c r="AI7" s="201"/>
      <c r="AJ7" s="201"/>
      <c r="AK7" s="201"/>
      <c r="AL7" s="201"/>
      <c r="AM7" s="201"/>
      <c r="AN7" s="201"/>
      <c r="AO7" s="202"/>
      <c r="AP7" s="202"/>
      <c r="AQ7" s="106"/>
    </row>
    <row r="8" spans="1:43" ht="13.15" customHeight="1" x14ac:dyDescent="0.2">
      <c r="A8" s="413" t="s">
        <v>633</v>
      </c>
      <c r="B8" s="158" t="s">
        <v>220</v>
      </c>
      <c r="C8" s="200">
        <v>15</v>
      </c>
      <c r="D8" s="38" t="s">
        <v>648</v>
      </c>
      <c r="E8" s="38">
        <v>25</v>
      </c>
      <c r="F8" s="38" t="s">
        <v>649</v>
      </c>
      <c r="G8" s="38">
        <v>40</v>
      </c>
      <c r="H8" s="38">
        <v>50</v>
      </c>
      <c r="I8" s="38" t="s">
        <v>299</v>
      </c>
      <c r="J8" s="38">
        <v>80</v>
      </c>
      <c r="K8" s="38">
        <v>100</v>
      </c>
      <c r="L8" s="38" t="s">
        <v>300</v>
      </c>
      <c r="M8" s="38">
        <v>150</v>
      </c>
      <c r="N8" s="38">
        <v>200</v>
      </c>
      <c r="O8" s="38">
        <v>250</v>
      </c>
      <c r="P8" s="38">
        <v>300</v>
      </c>
      <c r="Q8" s="38">
        <v>350</v>
      </c>
      <c r="R8" s="78">
        <v>400</v>
      </c>
      <c r="S8" s="38">
        <v>450</v>
      </c>
      <c r="T8" s="38">
        <v>500</v>
      </c>
      <c r="U8" s="37">
        <v>600</v>
      </c>
      <c r="V8" s="149"/>
      <c r="W8" s="167"/>
      <c r="X8" s="103"/>
      <c r="Y8" s="103"/>
      <c r="Z8" s="103"/>
      <c r="AA8" s="103"/>
      <c r="AB8" s="103"/>
      <c r="AC8" s="103"/>
      <c r="AD8" s="103"/>
      <c r="AE8" s="103"/>
      <c r="AF8" s="103"/>
      <c r="AG8" s="103"/>
      <c r="AH8" s="103"/>
      <c r="AI8" s="103"/>
      <c r="AJ8" s="103"/>
      <c r="AK8" s="103"/>
      <c r="AL8" s="103"/>
      <c r="AM8" s="103"/>
      <c r="AN8" s="103"/>
      <c r="AO8" s="103"/>
      <c r="AP8" s="103"/>
      <c r="AQ8" s="89"/>
    </row>
    <row r="9" spans="1:43" ht="13.15" customHeight="1" x14ac:dyDescent="0.2">
      <c r="A9" s="416" t="s">
        <v>634</v>
      </c>
      <c r="B9" s="293" t="s">
        <v>222</v>
      </c>
      <c r="C9" s="35">
        <v>21.3</v>
      </c>
      <c r="D9" s="42">
        <v>26.9</v>
      </c>
      <c r="E9" s="34">
        <v>33.700000000000003</v>
      </c>
      <c r="F9" s="34">
        <v>42.4</v>
      </c>
      <c r="G9" s="34">
        <v>48.3</v>
      </c>
      <c r="H9" s="34">
        <v>60.3</v>
      </c>
      <c r="I9" s="34">
        <v>76.099999999999994</v>
      </c>
      <c r="J9" s="34">
        <v>88.9</v>
      </c>
      <c r="K9" s="34">
        <v>114.3</v>
      </c>
      <c r="L9" s="34">
        <v>139.69999999999999</v>
      </c>
      <c r="M9" s="34">
        <v>168.3</v>
      </c>
      <c r="N9" s="34">
        <v>219.1</v>
      </c>
      <c r="O9" s="34">
        <v>273</v>
      </c>
      <c r="P9" s="34">
        <v>323.89999999999998</v>
      </c>
      <c r="Q9" s="34">
        <v>355.6</v>
      </c>
      <c r="R9" s="34">
        <v>406.4</v>
      </c>
      <c r="S9" s="34">
        <v>457</v>
      </c>
      <c r="T9" s="34">
        <v>508</v>
      </c>
      <c r="U9" s="41">
        <v>610</v>
      </c>
      <c r="V9" s="152"/>
      <c r="W9" s="161"/>
      <c r="AQ9" s="89"/>
    </row>
    <row r="10" spans="1:43" ht="13.15" customHeight="1" x14ac:dyDescent="0.2">
      <c r="A10" s="417" t="s">
        <v>635</v>
      </c>
      <c r="B10" s="294" t="s">
        <v>222</v>
      </c>
      <c r="C10" s="240">
        <v>2.6</v>
      </c>
      <c r="D10" s="33"/>
      <c r="E10" s="239">
        <v>2.6</v>
      </c>
      <c r="F10" s="239"/>
      <c r="G10" s="239">
        <v>2.6</v>
      </c>
      <c r="H10" s="239">
        <v>3.2</v>
      </c>
      <c r="I10" s="239">
        <v>3.6</v>
      </c>
      <c r="J10" s="239">
        <v>5</v>
      </c>
      <c r="K10" s="239">
        <v>5.6</v>
      </c>
      <c r="L10" s="239">
        <v>7.1</v>
      </c>
      <c r="M10" s="239">
        <v>8</v>
      </c>
      <c r="N10" s="239">
        <v>10</v>
      </c>
      <c r="O10" s="839" t="s">
        <v>268</v>
      </c>
      <c r="P10" s="840"/>
      <c r="Q10" s="840"/>
      <c r="R10" s="840"/>
      <c r="S10" s="840"/>
      <c r="T10" s="840"/>
      <c r="U10" s="841"/>
      <c r="V10" s="152"/>
      <c r="W10" s="161"/>
      <c r="AQ10" s="89"/>
    </row>
    <row r="11" spans="1:43" ht="13.15" customHeight="1" x14ac:dyDescent="0.2">
      <c r="A11" s="84" t="s">
        <v>636</v>
      </c>
      <c r="B11" s="295" t="s">
        <v>236</v>
      </c>
      <c r="C11" s="736" t="s">
        <v>302</v>
      </c>
      <c r="D11" s="737"/>
      <c r="E11" s="737"/>
      <c r="F11" s="737"/>
      <c r="G11" s="737"/>
      <c r="H11" s="737"/>
      <c r="I11" s="737"/>
      <c r="J11" s="737"/>
      <c r="K11" s="737"/>
      <c r="L11" s="737"/>
      <c r="M11" s="737"/>
      <c r="N11" s="808"/>
      <c r="O11" s="628"/>
      <c r="P11" s="586"/>
      <c r="Q11" s="586"/>
      <c r="R11" s="586"/>
      <c r="S11" s="586"/>
      <c r="T11" s="586"/>
      <c r="U11" s="842"/>
      <c r="V11" s="152"/>
      <c r="W11" s="161"/>
      <c r="AQ11" s="89"/>
    </row>
    <row r="12" spans="1:43" ht="13.15" customHeight="1" thickBot="1" x14ac:dyDescent="0.25">
      <c r="A12" s="419" t="s">
        <v>637</v>
      </c>
      <c r="B12" s="296" t="s">
        <v>222</v>
      </c>
      <c r="C12" s="40">
        <f>C9-2*C10</f>
        <v>16.100000000000001</v>
      </c>
      <c r="D12" s="32"/>
      <c r="E12" s="39">
        <f>E9-2*E10</f>
        <v>28.500000000000004</v>
      </c>
      <c r="F12" s="39"/>
      <c r="G12" s="39">
        <f t="shared" ref="G12:N12" si="0">G9-2*G10</f>
        <v>43.099999999999994</v>
      </c>
      <c r="H12" s="39">
        <f>H9-2*H10</f>
        <v>53.9</v>
      </c>
      <c r="I12" s="39">
        <f>I9-2*I10</f>
        <v>68.899999999999991</v>
      </c>
      <c r="J12" s="39">
        <f t="shared" si="0"/>
        <v>78.900000000000006</v>
      </c>
      <c r="K12" s="39">
        <f t="shared" si="0"/>
        <v>103.1</v>
      </c>
      <c r="L12" s="39">
        <f t="shared" si="0"/>
        <v>125.49999999999999</v>
      </c>
      <c r="M12" s="39">
        <f t="shared" si="0"/>
        <v>152.30000000000001</v>
      </c>
      <c r="N12" s="39">
        <f t="shared" si="0"/>
        <v>199.1</v>
      </c>
      <c r="O12" s="843"/>
      <c r="P12" s="844"/>
      <c r="Q12" s="844"/>
      <c r="R12" s="844"/>
      <c r="S12" s="844"/>
      <c r="T12" s="844"/>
      <c r="U12" s="845"/>
      <c r="V12" s="152"/>
      <c r="W12" s="161"/>
      <c r="AQ12" s="89"/>
    </row>
    <row r="13" spans="1:43" ht="13.15" customHeight="1" x14ac:dyDescent="0.2">
      <c r="A13" s="413" t="s">
        <v>638</v>
      </c>
      <c r="B13" s="158" t="s">
        <v>220</v>
      </c>
      <c r="C13" s="200">
        <v>15</v>
      </c>
      <c r="D13" s="38" t="s">
        <v>648</v>
      </c>
      <c r="E13" s="38">
        <v>25</v>
      </c>
      <c r="F13" s="38" t="s">
        <v>649</v>
      </c>
      <c r="G13" s="43">
        <v>40</v>
      </c>
      <c r="H13" s="43">
        <v>50</v>
      </c>
      <c r="I13" s="38" t="s">
        <v>299</v>
      </c>
      <c r="J13" s="43">
        <v>80</v>
      </c>
      <c r="K13" s="43">
        <v>100</v>
      </c>
      <c r="L13" s="43" t="s">
        <v>300</v>
      </c>
      <c r="M13" s="43">
        <v>150</v>
      </c>
      <c r="N13" s="43">
        <v>200</v>
      </c>
      <c r="O13" s="43">
        <v>250</v>
      </c>
      <c r="P13" s="43">
        <v>300</v>
      </c>
      <c r="Q13" s="43">
        <v>350</v>
      </c>
      <c r="R13" s="78">
        <v>400</v>
      </c>
      <c r="S13" s="38">
        <v>450</v>
      </c>
      <c r="T13" s="38">
        <v>500</v>
      </c>
      <c r="U13" s="37">
        <v>600</v>
      </c>
      <c r="V13" s="154"/>
      <c r="W13" s="171"/>
      <c r="AQ13" s="89"/>
    </row>
    <row r="14" spans="1:43" ht="13.15" customHeight="1" x14ac:dyDescent="0.2">
      <c r="A14" s="416" t="s">
        <v>639</v>
      </c>
      <c r="B14" s="297" t="s">
        <v>222</v>
      </c>
      <c r="C14" s="35">
        <v>21.3</v>
      </c>
      <c r="D14" s="34">
        <v>26.9</v>
      </c>
      <c r="E14" s="34">
        <v>33.700000000000003</v>
      </c>
      <c r="F14" s="34">
        <v>42.4</v>
      </c>
      <c r="G14" s="34">
        <v>48.3</v>
      </c>
      <c r="H14" s="34">
        <v>60.3</v>
      </c>
      <c r="I14" s="34">
        <v>76.099999999999994</v>
      </c>
      <c r="J14" s="34">
        <v>88.9</v>
      </c>
      <c r="K14" s="34">
        <v>114.3</v>
      </c>
      <c r="L14" s="34">
        <v>139.69999999999999</v>
      </c>
      <c r="M14" s="34">
        <v>168.3</v>
      </c>
      <c r="N14" s="34">
        <v>219.1</v>
      </c>
      <c r="O14" s="34">
        <v>273</v>
      </c>
      <c r="P14" s="34">
        <v>323.89999999999998</v>
      </c>
      <c r="Q14" s="34">
        <v>355.6</v>
      </c>
      <c r="R14" s="34">
        <v>406.4</v>
      </c>
      <c r="S14" s="34">
        <v>457</v>
      </c>
      <c r="T14" s="34">
        <v>508</v>
      </c>
      <c r="U14" s="41">
        <v>610</v>
      </c>
      <c r="V14" s="152"/>
      <c r="W14" s="161"/>
      <c r="AQ14" s="89"/>
    </row>
    <row r="15" spans="1:43" ht="13.15" customHeight="1" x14ac:dyDescent="0.2">
      <c r="A15" s="417" t="s">
        <v>640</v>
      </c>
      <c r="B15" s="294" t="s">
        <v>222</v>
      </c>
      <c r="C15" s="474">
        <v>2.6</v>
      </c>
      <c r="D15" s="239"/>
      <c r="E15" s="240">
        <v>2.6</v>
      </c>
      <c r="F15" s="239"/>
      <c r="G15" s="239">
        <v>2.6</v>
      </c>
      <c r="H15" s="239">
        <v>3.6</v>
      </c>
      <c r="I15" s="239">
        <v>3.6</v>
      </c>
      <c r="J15" s="239">
        <v>5.6</v>
      </c>
      <c r="K15" s="239">
        <v>6.3</v>
      </c>
      <c r="L15" s="239">
        <v>10</v>
      </c>
      <c r="M15" s="239">
        <v>11</v>
      </c>
      <c r="N15" s="239">
        <v>12.5</v>
      </c>
      <c r="O15" s="846" t="s">
        <v>268</v>
      </c>
      <c r="P15" s="547"/>
      <c r="Q15" s="547"/>
      <c r="R15" s="547"/>
      <c r="S15" s="547"/>
      <c r="T15" s="547"/>
      <c r="U15" s="823"/>
      <c r="V15" s="152"/>
      <c r="W15" s="161"/>
      <c r="AQ15" s="89"/>
    </row>
    <row r="16" spans="1:43" ht="13.15" customHeight="1" thickBot="1" x14ac:dyDescent="0.25">
      <c r="A16" s="419" t="s">
        <v>641</v>
      </c>
      <c r="B16" s="296" t="s">
        <v>222</v>
      </c>
      <c r="C16" s="478">
        <v>3</v>
      </c>
      <c r="D16" s="317"/>
      <c r="E16" s="469" t="s">
        <v>543</v>
      </c>
      <c r="F16" s="317"/>
      <c r="G16" s="317" t="s">
        <v>543</v>
      </c>
      <c r="H16" s="317">
        <v>3</v>
      </c>
      <c r="I16" s="317" t="s">
        <v>462</v>
      </c>
      <c r="J16" s="317">
        <v>4</v>
      </c>
      <c r="K16" s="317">
        <v>4</v>
      </c>
      <c r="L16" s="317">
        <v>5</v>
      </c>
      <c r="M16" s="317">
        <v>5</v>
      </c>
      <c r="N16" s="317">
        <v>5</v>
      </c>
      <c r="O16" s="847"/>
      <c r="P16" s="848"/>
      <c r="Q16" s="848"/>
      <c r="R16" s="848"/>
      <c r="S16" s="848"/>
      <c r="T16" s="848"/>
      <c r="U16" s="849"/>
      <c r="V16" s="21"/>
      <c r="AO16"/>
      <c r="AQ16" s="89"/>
    </row>
    <row r="17" spans="1:43" ht="13.15" customHeight="1" x14ac:dyDescent="0.2">
      <c r="A17" s="31" t="s">
        <v>221</v>
      </c>
      <c r="B17" s="422"/>
      <c r="C17" s="631" t="s">
        <v>220</v>
      </c>
      <c r="D17" s="632"/>
      <c r="E17" s="633" t="s">
        <v>197</v>
      </c>
      <c r="F17" s="634"/>
      <c r="G17" s="634"/>
      <c r="H17" s="634"/>
      <c r="I17" s="634"/>
      <c r="J17" s="634"/>
      <c r="K17" s="635" t="s">
        <v>241</v>
      </c>
      <c r="L17" s="634"/>
      <c r="M17" s="634"/>
      <c r="N17" s="636"/>
      <c r="O17" s="656" t="s">
        <v>243</v>
      </c>
      <c r="P17" s="656" t="s">
        <v>242</v>
      </c>
      <c r="Q17" s="637" t="s">
        <v>244</v>
      </c>
      <c r="R17" s="638"/>
      <c r="S17" s="633" t="s">
        <v>245</v>
      </c>
      <c r="T17" s="639"/>
      <c r="U17" s="640"/>
      <c r="V17" s="21"/>
      <c r="AO17"/>
      <c r="AQ17" s="89"/>
    </row>
    <row r="18" spans="1:43" ht="13.15" customHeight="1" x14ac:dyDescent="0.2">
      <c r="A18" s="20"/>
      <c r="B18" s="424"/>
      <c r="C18" s="30" t="s">
        <v>219</v>
      </c>
      <c r="D18" s="30" t="s">
        <v>218</v>
      </c>
      <c r="E18" s="554"/>
      <c r="F18" s="555"/>
      <c r="G18" s="555"/>
      <c r="H18" s="555"/>
      <c r="I18" s="555"/>
      <c r="J18" s="555"/>
      <c r="K18" s="558"/>
      <c r="L18" s="555"/>
      <c r="M18" s="555"/>
      <c r="N18" s="556"/>
      <c r="O18" s="555"/>
      <c r="P18" s="555"/>
      <c r="Q18" s="555"/>
      <c r="R18" s="555"/>
      <c r="S18" s="641"/>
      <c r="T18" s="642"/>
      <c r="U18" s="643"/>
      <c r="V18" s="172"/>
      <c r="W18" s="160"/>
      <c r="X18" s="659" t="s">
        <v>288</v>
      </c>
      <c r="Y18" s="670"/>
      <c r="Z18" s="670"/>
      <c r="AA18" s="670"/>
      <c r="AB18" s="670"/>
      <c r="AC18" s="670"/>
      <c r="AD18" s="670"/>
      <c r="AE18" s="670"/>
      <c r="AF18" s="670"/>
      <c r="AG18" s="670"/>
      <c r="AH18" s="670"/>
      <c r="AI18" s="670"/>
      <c r="AJ18" s="670"/>
      <c r="AK18" s="670"/>
      <c r="AL18" s="670"/>
      <c r="AM18" s="670"/>
      <c r="AN18" s="670"/>
      <c r="AO18" s="660"/>
      <c r="AP18" s="660"/>
      <c r="AQ18" s="89"/>
    </row>
    <row r="19" spans="1:43" ht="13.15" customHeight="1" x14ac:dyDescent="0.2">
      <c r="A19" s="19" t="s">
        <v>217</v>
      </c>
      <c r="B19" s="60"/>
      <c r="C19" s="24">
        <v>15</v>
      </c>
      <c r="D19" s="24">
        <v>50</v>
      </c>
      <c r="E19" s="561" t="s">
        <v>497</v>
      </c>
      <c r="F19" s="562"/>
      <c r="G19" s="562"/>
      <c r="H19" s="562"/>
      <c r="I19" s="562"/>
      <c r="J19" s="563"/>
      <c r="K19" s="564" t="s">
        <v>537</v>
      </c>
      <c r="L19" s="855"/>
      <c r="M19" s="855"/>
      <c r="N19" s="856"/>
      <c r="O19" s="97" t="s">
        <v>236</v>
      </c>
      <c r="P19" s="97" t="s">
        <v>485</v>
      </c>
      <c r="Q19" s="651" t="s">
        <v>304</v>
      </c>
      <c r="R19" s="626"/>
      <c r="S19" s="93"/>
      <c r="U19" s="89"/>
      <c r="V19" s="657" t="s">
        <v>274</v>
      </c>
      <c r="W19" s="1">
        <v>15</v>
      </c>
      <c r="X19" s="139" t="s">
        <v>396</v>
      </c>
      <c r="Y19" s="137"/>
      <c r="Z19" s="137"/>
      <c r="AA19" s="137"/>
      <c r="AB19" s="137"/>
      <c r="AC19" s="137"/>
      <c r="AD19" s="137"/>
      <c r="AE19" s="137"/>
      <c r="AF19" s="137"/>
      <c r="AG19" s="137"/>
      <c r="AH19" s="137"/>
      <c r="AI19" s="137"/>
      <c r="AJ19" s="137"/>
      <c r="AK19" s="138"/>
      <c r="AL19" s="138"/>
      <c r="AQ19" s="89"/>
    </row>
    <row r="20" spans="1:43" ht="13.15" customHeight="1" x14ac:dyDescent="0.2">
      <c r="A20" s="19"/>
      <c r="B20" s="60"/>
      <c r="C20" s="24">
        <v>65</v>
      </c>
      <c r="D20" s="24">
        <v>200</v>
      </c>
      <c r="E20" s="583" t="s">
        <v>496</v>
      </c>
      <c r="F20" s="549"/>
      <c r="G20" s="549"/>
      <c r="H20" s="549"/>
      <c r="I20" s="549"/>
      <c r="J20" s="550"/>
      <c r="K20" s="584" t="s">
        <v>537</v>
      </c>
      <c r="L20" s="857"/>
      <c r="M20" s="857"/>
      <c r="N20" s="858"/>
      <c r="O20" s="98"/>
      <c r="P20" s="98" t="s">
        <v>484</v>
      </c>
      <c r="Q20" s="652" t="s">
        <v>304</v>
      </c>
      <c r="R20" s="586"/>
      <c r="S20" s="93"/>
      <c r="U20" s="89"/>
      <c r="V20" s="824"/>
      <c r="W20" s="227" t="s">
        <v>642</v>
      </c>
      <c r="X20" s="139"/>
      <c r="Y20" s="139"/>
      <c r="Z20" s="501"/>
      <c r="AA20" s="137"/>
      <c r="AB20" s="137"/>
      <c r="AC20" s="137"/>
      <c r="AD20" s="137"/>
      <c r="AE20" s="137"/>
      <c r="AF20" s="137"/>
      <c r="AG20" s="137"/>
      <c r="AH20" s="137"/>
      <c r="AI20" s="137"/>
      <c r="AJ20" s="137"/>
      <c r="AK20" s="137"/>
      <c r="AL20" s="137"/>
      <c r="AM20" s="138"/>
      <c r="AN20" s="138"/>
      <c r="AO20"/>
      <c r="AQ20" s="89"/>
    </row>
    <row r="21" spans="1:43" ht="13.15" customHeight="1" x14ac:dyDescent="0.2">
      <c r="A21" s="19"/>
      <c r="B21" s="60"/>
      <c r="C21" s="24"/>
      <c r="D21" s="24"/>
      <c r="E21" s="583"/>
      <c r="F21" s="549"/>
      <c r="G21" s="549"/>
      <c r="H21" s="549"/>
      <c r="I21" s="549"/>
      <c r="J21" s="550"/>
      <c r="K21" s="584"/>
      <c r="L21" s="549"/>
      <c r="M21" s="549"/>
      <c r="N21" s="550"/>
      <c r="O21" s="98"/>
      <c r="P21" s="98"/>
      <c r="Q21" s="652"/>
      <c r="R21" s="586"/>
      <c r="S21" s="88"/>
      <c r="U21" s="89"/>
      <c r="V21" s="824"/>
      <c r="W21" s="118">
        <v>25</v>
      </c>
      <c r="X21" s="139" t="s">
        <v>396</v>
      </c>
      <c r="Y21" s="139"/>
      <c r="Z21" s="139" t="s">
        <v>407</v>
      </c>
      <c r="AA21" s="137"/>
      <c r="AB21" s="137"/>
      <c r="AC21" s="137"/>
      <c r="AD21" s="137"/>
      <c r="AE21" s="137"/>
      <c r="AF21" s="137"/>
      <c r="AG21" s="137"/>
      <c r="AH21" s="137"/>
      <c r="AI21" s="137"/>
      <c r="AJ21" s="137"/>
      <c r="AK21" s="137"/>
      <c r="AL21" s="137"/>
      <c r="AM21" s="138"/>
      <c r="AN21" s="138"/>
      <c r="AO21"/>
      <c r="AQ21" s="89"/>
    </row>
    <row r="22" spans="1:43" ht="13.15" customHeight="1" x14ac:dyDescent="0.2">
      <c r="A22" s="19"/>
      <c r="B22" s="60"/>
      <c r="C22" s="24"/>
      <c r="D22" s="24"/>
      <c r="E22" s="583"/>
      <c r="F22" s="549"/>
      <c r="G22" s="549"/>
      <c r="H22" s="549"/>
      <c r="I22" s="549"/>
      <c r="J22" s="550"/>
      <c r="K22" s="584"/>
      <c r="L22" s="549"/>
      <c r="M22" s="549"/>
      <c r="N22" s="550"/>
      <c r="O22" s="98"/>
      <c r="P22" s="98"/>
      <c r="Q22" s="652"/>
      <c r="R22" s="586"/>
      <c r="S22" s="88"/>
      <c r="U22" s="89"/>
      <c r="V22" s="824"/>
      <c r="W22" s="227" t="s">
        <v>643</v>
      </c>
      <c r="X22" s="139"/>
      <c r="Y22" s="139"/>
      <c r="Z22" s="139"/>
      <c r="AA22" s="139"/>
      <c r="AB22" s="501"/>
      <c r="AC22" s="137"/>
      <c r="AD22" s="137"/>
      <c r="AE22" s="137"/>
      <c r="AF22" s="137"/>
      <c r="AG22" s="137"/>
      <c r="AH22" s="137"/>
      <c r="AI22" s="137"/>
      <c r="AJ22" s="137"/>
      <c r="AK22" s="137"/>
      <c r="AL22" s="137"/>
      <c r="AM22" s="137"/>
      <c r="AN22" s="138"/>
      <c r="AO22" s="138"/>
      <c r="AP22"/>
      <c r="AQ22" s="89"/>
    </row>
    <row r="23" spans="1:43" ht="13.15" customHeight="1" x14ac:dyDescent="0.2">
      <c r="A23" s="19"/>
      <c r="B23" s="60"/>
      <c r="C23" s="24"/>
      <c r="D23" s="24"/>
      <c r="E23" s="155"/>
      <c r="F23" s="160"/>
      <c r="G23" s="160"/>
      <c r="H23" s="160"/>
      <c r="I23" s="160"/>
      <c r="J23" s="181"/>
      <c r="K23" s="182"/>
      <c r="L23" s="160"/>
      <c r="M23" s="160"/>
      <c r="N23" s="181"/>
      <c r="O23" s="98"/>
      <c r="P23" s="98"/>
      <c r="Q23" s="183"/>
      <c r="R23" s="161"/>
      <c r="S23" s="88"/>
      <c r="U23" s="89"/>
      <c r="V23" s="824"/>
      <c r="W23" s="118">
        <v>40</v>
      </c>
      <c r="X23" s="139" t="s">
        <v>396</v>
      </c>
      <c r="Y23" s="139"/>
      <c r="Z23" s="139" t="s">
        <v>407</v>
      </c>
      <c r="AA23" s="139"/>
      <c r="AB23" s="139" t="s">
        <v>407</v>
      </c>
      <c r="AC23" s="137"/>
      <c r="AD23" s="137"/>
      <c r="AE23" s="137"/>
      <c r="AF23" s="137"/>
      <c r="AG23" s="137"/>
      <c r="AH23" s="137"/>
      <c r="AI23" s="137"/>
      <c r="AJ23" s="137"/>
      <c r="AK23" s="137"/>
      <c r="AL23" s="137"/>
      <c r="AM23" s="137"/>
      <c r="AN23" s="138"/>
      <c r="AO23" s="138"/>
      <c r="AP23"/>
      <c r="AQ23" s="89"/>
    </row>
    <row r="24" spans="1:43" ht="13.15" customHeight="1" x14ac:dyDescent="0.2">
      <c r="A24" s="26" t="s">
        <v>298</v>
      </c>
      <c r="B24" s="435"/>
      <c r="C24" s="29">
        <v>15</v>
      </c>
      <c r="D24" s="25">
        <v>50</v>
      </c>
      <c r="E24" s="653" t="s">
        <v>495</v>
      </c>
      <c r="F24" s="654"/>
      <c r="G24" s="654"/>
      <c r="H24" s="654"/>
      <c r="I24" s="654"/>
      <c r="J24" s="655"/>
      <c r="K24" s="699" t="s">
        <v>537</v>
      </c>
      <c r="L24" s="654"/>
      <c r="M24" s="654"/>
      <c r="N24" s="655"/>
      <c r="O24" s="249" t="s">
        <v>236</v>
      </c>
      <c r="P24" s="249" t="s">
        <v>485</v>
      </c>
      <c r="Q24" s="697" t="s">
        <v>304</v>
      </c>
      <c r="R24" s="701"/>
      <c r="S24" s="109"/>
      <c r="T24" s="91"/>
      <c r="U24" s="92"/>
      <c r="V24" s="824"/>
      <c r="W24" s="1">
        <v>50</v>
      </c>
      <c r="X24" s="139" t="s">
        <v>410</v>
      </c>
      <c r="Y24" s="139"/>
      <c r="Z24" s="139" t="s">
        <v>396</v>
      </c>
      <c r="AA24" s="139"/>
      <c r="AB24" s="139" t="s">
        <v>396</v>
      </c>
      <c r="AC24" s="139" t="s">
        <v>396</v>
      </c>
      <c r="AD24" s="137"/>
      <c r="AE24" s="137"/>
      <c r="AF24" s="137"/>
      <c r="AG24" s="137"/>
      <c r="AH24" s="137"/>
      <c r="AI24" s="137"/>
      <c r="AJ24" s="137"/>
      <c r="AK24" s="137"/>
      <c r="AL24" s="137"/>
      <c r="AM24" s="137"/>
      <c r="AN24" s="138"/>
      <c r="AO24" s="138"/>
      <c r="AP24"/>
      <c r="AQ24" s="89"/>
    </row>
    <row r="25" spans="1:43" ht="13.15" customHeight="1" x14ac:dyDescent="0.2">
      <c r="A25" s="19" t="s">
        <v>297</v>
      </c>
      <c r="B25" s="60"/>
      <c r="C25" s="235">
        <v>15</v>
      </c>
      <c r="D25" s="242">
        <v>15</v>
      </c>
      <c r="E25" s="644" t="s">
        <v>503</v>
      </c>
      <c r="F25" s="645"/>
      <c r="G25" s="645"/>
      <c r="H25" s="645"/>
      <c r="I25" s="645"/>
      <c r="J25" s="646"/>
      <c r="K25" s="700" t="s">
        <v>677</v>
      </c>
      <c r="L25" s="645"/>
      <c r="M25" s="645"/>
      <c r="N25" s="646"/>
      <c r="O25" s="98" t="s">
        <v>236</v>
      </c>
      <c r="P25" s="98" t="s">
        <v>246</v>
      </c>
      <c r="Q25" s="647" t="s">
        <v>306</v>
      </c>
      <c r="R25" s="723"/>
      <c r="S25" s="93"/>
      <c r="U25" s="89"/>
      <c r="V25" s="824"/>
      <c r="W25" s="227" t="s">
        <v>295</v>
      </c>
      <c r="X25" s="139" t="s">
        <v>410</v>
      </c>
      <c r="Y25" s="139"/>
      <c r="Z25" s="139" t="s">
        <v>397</v>
      </c>
      <c r="AA25" s="139"/>
      <c r="AB25" s="139" t="s">
        <v>397</v>
      </c>
      <c r="AC25" s="139" t="s">
        <v>397</v>
      </c>
      <c r="AD25" s="139" t="s">
        <v>397</v>
      </c>
      <c r="AE25" s="147"/>
      <c r="AF25" s="137"/>
      <c r="AG25" s="137"/>
      <c r="AH25" s="137"/>
      <c r="AI25" s="137"/>
      <c r="AJ25" s="137"/>
      <c r="AK25" s="137"/>
      <c r="AL25" s="137"/>
      <c r="AM25" s="137"/>
      <c r="AN25" s="137"/>
      <c r="AO25" s="138"/>
      <c r="AP25" s="138"/>
      <c r="AQ25" s="89"/>
    </row>
    <row r="26" spans="1:43" ht="13.15" customHeight="1" x14ac:dyDescent="0.2">
      <c r="A26" s="19"/>
      <c r="B26" s="60"/>
      <c r="C26" s="24">
        <v>25</v>
      </c>
      <c r="D26" s="23">
        <v>200</v>
      </c>
      <c r="E26" s="583" t="s">
        <v>503</v>
      </c>
      <c r="F26" s="549"/>
      <c r="G26" s="549"/>
      <c r="H26" s="549"/>
      <c r="I26" s="549"/>
      <c r="J26" s="550"/>
      <c r="K26" s="584" t="s">
        <v>677</v>
      </c>
      <c r="L26" s="549"/>
      <c r="M26" s="549"/>
      <c r="N26" s="550"/>
      <c r="O26" s="98" t="s">
        <v>236</v>
      </c>
      <c r="P26" s="98" t="s">
        <v>246</v>
      </c>
      <c r="Q26" s="585" t="s">
        <v>307</v>
      </c>
      <c r="R26" s="615"/>
      <c r="S26" s="88"/>
      <c r="U26" s="89"/>
      <c r="V26" s="824"/>
      <c r="W26" s="1">
        <v>80</v>
      </c>
      <c r="X26" s="139" t="s">
        <v>410</v>
      </c>
      <c r="Y26" s="139"/>
      <c r="Z26" s="139" t="s">
        <v>421</v>
      </c>
      <c r="AA26" s="139"/>
      <c r="AB26" s="139" t="s">
        <v>397</v>
      </c>
      <c r="AC26" s="139" t="s">
        <v>397</v>
      </c>
      <c r="AD26" s="139" t="s">
        <v>397</v>
      </c>
      <c r="AE26" s="139" t="s">
        <v>397</v>
      </c>
      <c r="AF26" s="137"/>
      <c r="AG26" s="137"/>
      <c r="AH26" s="137"/>
      <c r="AI26" s="137"/>
      <c r="AJ26" s="137"/>
      <c r="AK26" s="137"/>
      <c r="AL26" s="137"/>
      <c r="AM26" s="137"/>
      <c r="AN26" s="137"/>
      <c r="AO26" s="138"/>
      <c r="AP26" s="138"/>
      <c r="AQ26" s="89"/>
    </row>
    <row r="27" spans="1:43" ht="13.15" customHeight="1" x14ac:dyDescent="0.2">
      <c r="A27" s="19"/>
      <c r="B27" s="60"/>
      <c r="C27" s="24"/>
      <c r="D27" s="23"/>
      <c r="E27" s="155"/>
      <c r="F27" s="160"/>
      <c r="G27" s="160"/>
      <c r="H27" s="160"/>
      <c r="I27" s="160"/>
      <c r="J27" s="181"/>
      <c r="K27" s="182"/>
      <c r="L27" s="160"/>
      <c r="M27" s="160"/>
      <c r="N27" s="181"/>
      <c r="O27" s="98"/>
      <c r="P27" s="98"/>
      <c r="Q27" s="183"/>
      <c r="R27" s="161"/>
      <c r="S27" s="93"/>
      <c r="U27" s="89"/>
      <c r="V27" s="824"/>
      <c r="W27" s="1">
        <v>100</v>
      </c>
      <c r="X27" s="139" t="s">
        <v>389</v>
      </c>
      <c r="Y27" s="139"/>
      <c r="Z27" s="139" t="s">
        <v>394</v>
      </c>
      <c r="AA27" s="139"/>
      <c r="AB27" s="139" t="s">
        <v>397</v>
      </c>
      <c r="AC27" s="139" t="s">
        <v>397</v>
      </c>
      <c r="AD27" s="139" t="s">
        <v>397</v>
      </c>
      <c r="AE27" s="139" t="s">
        <v>397</v>
      </c>
      <c r="AF27" s="139" t="s">
        <v>397</v>
      </c>
      <c r="AG27" s="137"/>
      <c r="AH27" s="137"/>
      <c r="AI27" s="137"/>
      <c r="AJ27" s="137"/>
      <c r="AK27" s="137"/>
      <c r="AL27" s="137"/>
      <c r="AM27" s="137"/>
      <c r="AN27" s="137"/>
      <c r="AO27" s="138"/>
      <c r="AP27" s="138"/>
      <c r="AQ27" s="89"/>
    </row>
    <row r="28" spans="1:43" ht="13.15" customHeight="1" x14ac:dyDescent="0.2">
      <c r="A28" s="20"/>
      <c r="B28" s="424"/>
      <c r="C28" s="28"/>
      <c r="D28" s="27"/>
      <c r="E28" s="320"/>
      <c r="F28" s="124"/>
      <c r="G28" s="124"/>
      <c r="H28" s="124"/>
      <c r="I28" s="124"/>
      <c r="J28" s="354"/>
      <c r="K28" s="321"/>
      <c r="L28" s="124"/>
      <c r="M28" s="124"/>
      <c r="N28" s="354"/>
      <c r="O28" s="110"/>
      <c r="P28" s="110"/>
      <c r="Q28" s="80"/>
      <c r="R28" s="80"/>
      <c r="S28" s="94"/>
      <c r="T28" s="95"/>
      <c r="U28" s="96"/>
      <c r="V28" s="824"/>
      <c r="W28" s="227" t="s">
        <v>296</v>
      </c>
      <c r="X28" s="139" t="s">
        <v>389</v>
      </c>
      <c r="Y28" s="139"/>
      <c r="Z28" s="139" t="s">
        <v>394</v>
      </c>
      <c r="AA28" s="139"/>
      <c r="AB28" s="139" t="s">
        <v>427</v>
      </c>
      <c r="AC28" s="139" t="s">
        <v>398</v>
      </c>
      <c r="AD28" s="139" t="s">
        <v>398</v>
      </c>
      <c r="AE28" s="139" t="s">
        <v>398</v>
      </c>
      <c r="AF28" s="139" t="s">
        <v>398</v>
      </c>
      <c r="AG28" s="139" t="s">
        <v>398</v>
      </c>
      <c r="AH28" s="137"/>
      <c r="AI28" s="137"/>
      <c r="AJ28" s="137"/>
      <c r="AK28" s="137"/>
      <c r="AL28" s="137"/>
      <c r="AM28" s="137"/>
      <c r="AN28" s="137"/>
      <c r="AO28" s="138"/>
      <c r="AP28" s="138"/>
      <c r="AQ28" s="89"/>
    </row>
    <row r="29" spans="1:43" ht="13.15" customHeight="1" x14ac:dyDescent="0.2">
      <c r="A29" s="19" t="s">
        <v>249</v>
      </c>
      <c r="B29" s="60"/>
      <c r="C29" s="24">
        <v>15</v>
      </c>
      <c r="D29" s="24">
        <v>200</v>
      </c>
      <c r="E29" s="561" t="s">
        <v>271</v>
      </c>
      <c r="F29" s="562"/>
      <c r="G29" s="562"/>
      <c r="H29" s="562"/>
      <c r="I29" s="562"/>
      <c r="J29" s="563"/>
      <c r="K29" s="564" t="s">
        <v>677</v>
      </c>
      <c r="L29" s="562"/>
      <c r="M29" s="562"/>
      <c r="N29" s="563"/>
      <c r="O29" s="97"/>
      <c r="P29" s="97" t="s">
        <v>246</v>
      </c>
      <c r="Q29" s="565" t="s">
        <v>307</v>
      </c>
      <c r="R29" s="566"/>
      <c r="S29" s="694" t="s">
        <v>548</v>
      </c>
      <c r="T29" s="91"/>
      <c r="U29" s="92"/>
      <c r="V29" s="824"/>
      <c r="W29" s="1">
        <v>150</v>
      </c>
      <c r="X29" s="139" t="s">
        <v>389</v>
      </c>
      <c r="Y29" s="139"/>
      <c r="Z29" s="139" t="s">
        <v>394</v>
      </c>
      <c r="AA29" s="139"/>
      <c r="AB29" s="139" t="s">
        <v>427</v>
      </c>
      <c r="AC29" s="142" t="s">
        <v>546</v>
      </c>
      <c r="AD29" s="139" t="s">
        <v>398</v>
      </c>
      <c r="AE29" s="139" t="s">
        <v>398</v>
      </c>
      <c r="AF29" s="139" t="s">
        <v>398</v>
      </c>
      <c r="AG29" s="139" t="s">
        <v>398</v>
      </c>
      <c r="AH29" s="139" t="s">
        <v>398</v>
      </c>
      <c r="AI29" s="137"/>
      <c r="AJ29" s="137"/>
      <c r="AK29" s="137"/>
      <c r="AL29" s="137"/>
      <c r="AM29" s="137"/>
      <c r="AN29" s="137"/>
      <c r="AO29" s="138"/>
      <c r="AP29" s="138"/>
      <c r="AQ29" s="89"/>
    </row>
    <row r="30" spans="1:43" ht="13.15" customHeight="1" x14ac:dyDescent="0.2">
      <c r="A30" s="19" t="s">
        <v>250</v>
      </c>
      <c r="B30" s="60"/>
      <c r="C30" s="210" t="s">
        <v>236</v>
      </c>
      <c r="D30" s="210" t="s">
        <v>236</v>
      </c>
      <c r="E30" s="583" t="s">
        <v>325</v>
      </c>
      <c r="F30" s="549"/>
      <c r="G30" s="549"/>
      <c r="H30" s="549"/>
      <c r="I30" s="549"/>
      <c r="J30" s="550"/>
      <c r="K30" s="584" t="s">
        <v>537</v>
      </c>
      <c r="L30" s="549"/>
      <c r="M30" s="549"/>
      <c r="N30" s="550"/>
      <c r="O30" s="98" t="s">
        <v>236</v>
      </c>
      <c r="P30" s="98" t="s">
        <v>246</v>
      </c>
      <c r="Q30" s="585" t="s">
        <v>347</v>
      </c>
      <c r="R30" s="615"/>
      <c r="S30" s="853"/>
      <c r="U30" s="89"/>
      <c r="V30" s="824"/>
      <c r="W30" s="1">
        <v>200</v>
      </c>
      <c r="X30" s="139" t="s">
        <v>691</v>
      </c>
      <c r="Y30" s="139"/>
      <c r="Z30" s="139" t="s">
        <v>402</v>
      </c>
      <c r="AA30" s="139"/>
      <c r="AB30" s="139" t="s">
        <v>693</v>
      </c>
      <c r="AC30" s="142" t="s">
        <v>628</v>
      </c>
      <c r="AD30" s="142" t="s">
        <v>628</v>
      </c>
      <c r="AE30" s="139" t="s">
        <v>398</v>
      </c>
      <c r="AF30" s="139" t="s">
        <v>398</v>
      </c>
      <c r="AG30" s="139" t="s">
        <v>398</v>
      </c>
      <c r="AH30" s="139" t="s">
        <v>398</v>
      </c>
      <c r="AI30" s="139" t="s">
        <v>398</v>
      </c>
      <c r="AJ30" s="137"/>
      <c r="AK30" s="137"/>
      <c r="AL30" s="137"/>
      <c r="AM30" s="137"/>
      <c r="AN30" s="137"/>
      <c r="AO30" s="138"/>
      <c r="AP30" s="138"/>
      <c r="AQ30" s="89"/>
    </row>
    <row r="31" spans="1:43" ht="13.15" customHeight="1" x14ac:dyDescent="0.2">
      <c r="A31" s="19"/>
      <c r="B31" s="60"/>
      <c r="C31" s="210"/>
      <c r="D31" s="210"/>
      <c r="E31" s="155"/>
      <c r="F31" s="160"/>
      <c r="G31" s="160"/>
      <c r="H31" s="160"/>
      <c r="I31" s="160"/>
      <c r="J31" s="181"/>
      <c r="K31" s="182"/>
      <c r="L31" s="160"/>
      <c r="M31" s="160"/>
      <c r="N31" s="181"/>
      <c r="O31" s="98"/>
      <c r="P31" s="98"/>
      <c r="Q31" s="347"/>
      <c r="R31" s="348"/>
      <c r="S31" s="853"/>
      <c r="U31" s="89"/>
      <c r="V31" s="824"/>
      <c r="W31" s="1">
        <v>250</v>
      </c>
      <c r="X31" s="139"/>
      <c r="Y31" s="139"/>
      <c r="Z31" s="139"/>
      <c r="AA31" s="139"/>
      <c r="AB31" s="139"/>
      <c r="AC31" s="139"/>
      <c r="AD31" s="139"/>
      <c r="AE31" s="261"/>
      <c r="AF31" s="139"/>
      <c r="AG31" s="139"/>
      <c r="AH31" s="139"/>
      <c r="AI31" s="139"/>
      <c r="AJ31" s="139"/>
      <c r="AK31" s="137"/>
      <c r="AL31" s="137"/>
      <c r="AM31" s="137"/>
      <c r="AN31" s="137"/>
      <c r="AO31" s="138"/>
      <c r="AP31" s="138"/>
      <c r="AQ31" s="89"/>
    </row>
    <row r="32" spans="1:43" ht="13.15" customHeight="1" x14ac:dyDescent="0.2">
      <c r="A32" s="19"/>
      <c r="B32" s="60"/>
      <c r="C32" s="210"/>
      <c r="D32" s="210"/>
      <c r="E32" s="155"/>
      <c r="F32" s="160"/>
      <c r="G32" s="160"/>
      <c r="H32" s="160"/>
      <c r="I32" s="160"/>
      <c r="J32" s="181"/>
      <c r="K32" s="182"/>
      <c r="L32" s="160"/>
      <c r="M32" s="160"/>
      <c r="N32" s="181"/>
      <c r="O32" s="98"/>
      <c r="P32" s="98"/>
      <c r="Q32" s="347"/>
      <c r="R32" s="348"/>
      <c r="S32" s="853"/>
      <c r="U32" s="89"/>
      <c r="V32" s="824"/>
      <c r="W32" s="1">
        <v>300</v>
      </c>
      <c r="X32" s="139"/>
      <c r="Y32" s="139"/>
      <c r="Z32" s="139"/>
      <c r="AA32" s="139"/>
      <c r="AB32" s="139"/>
      <c r="AC32" s="139"/>
      <c r="AD32" s="139"/>
      <c r="AE32" s="261"/>
      <c r="AF32" s="139"/>
      <c r="AG32" s="139"/>
      <c r="AH32" s="139"/>
      <c r="AI32" s="139"/>
      <c r="AJ32" s="139"/>
      <c r="AK32" s="139"/>
      <c r="AL32" s="137"/>
      <c r="AM32" s="137"/>
      <c r="AN32" s="137"/>
      <c r="AO32" s="138"/>
      <c r="AP32" s="138"/>
      <c r="AQ32" s="89"/>
    </row>
    <row r="33" spans="1:43" ht="13.15" customHeight="1" x14ac:dyDescent="0.2">
      <c r="A33" s="19" t="s">
        <v>256</v>
      </c>
      <c r="B33" s="60"/>
      <c r="C33" s="24">
        <v>100</v>
      </c>
      <c r="D33" s="24">
        <v>150</v>
      </c>
      <c r="E33" s="583" t="s">
        <v>528</v>
      </c>
      <c r="F33" s="549"/>
      <c r="G33" s="549"/>
      <c r="H33" s="549"/>
      <c r="I33" s="549"/>
      <c r="J33" s="550"/>
      <c r="K33" s="584" t="s">
        <v>331</v>
      </c>
      <c r="L33" s="549"/>
      <c r="M33" s="549"/>
      <c r="N33" s="550"/>
      <c r="O33" s="98" t="s">
        <v>236</v>
      </c>
      <c r="P33" s="98" t="s">
        <v>328</v>
      </c>
      <c r="Q33" s="585" t="s">
        <v>332</v>
      </c>
      <c r="R33" s="615"/>
      <c r="S33" s="853"/>
      <c r="T33" s="60" t="s">
        <v>524</v>
      </c>
      <c r="U33" s="89"/>
      <c r="V33" s="824"/>
      <c r="W33" s="1">
        <v>350</v>
      </c>
      <c r="X33" s="139"/>
      <c r="Y33" s="139"/>
      <c r="Z33" s="139"/>
      <c r="AA33" s="139"/>
      <c r="AB33" s="139"/>
      <c r="AC33" s="139"/>
      <c r="AD33" s="139"/>
      <c r="AE33" s="261"/>
      <c r="AF33" s="139"/>
      <c r="AG33" s="139"/>
      <c r="AH33" s="139"/>
      <c r="AI33" s="139"/>
      <c r="AJ33" s="139"/>
      <c r="AK33" s="139"/>
      <c r="AL33" s="139"/>
      <c r="AM33" s="137"/>
      <c r="AN33" s="137"/>
      <c r="AO33" s="138"/>
      <c r="AP33" s="138"/>
      <c r="AQ33" s="89"/>
    </row>
    <row r="34" spans="1:43" ht="13.15" customHeight="1" x14ac:dyDescent="0.2">
      <c r="A34" s="19"/>
      <c r="B34" s="60"/>
      <c r="C34" s="24">
        <v>200</v>
      </c>
      <c r="D34" s="24">
        <v>200</v>
      </c>
      <c r="E34" s="583" t="s">
        <v>528</v>
      </c>
      <c r="F34" s="549"/>
      <c r="G34" s="549"/>
      <c r="H34" s="549"/>
      <c r="I34" s="549"/>
      <c r="J34" s="550"/>
      <c r="K34" s="584" t="s">
        <v>331</v>
      </c>
      <c r="L34" s="549"/>
      <c r="M34" s="549"/>
      <c r="N34" s="550"/>
      <c r="O34" s="165" t="s">
        <v>236</v>
      </c>
      <c r="P34" s="98" t="s">
        <v>328</v>
      </c>
      <c r="Q34" s="585" t="s">
        <v>332</v>
      </c>
      <c r="R34" s="615"/>
      <c r="S34" s="853"/>
      <c r="T34" s="60" t="s">
        <v>525</v>
      </c>
      <c r="U34" s="89"/>
      <c r="V34" s="824"/>
      <c r="W34" s="1">
        <v>400</v>
      </c>
      <c r="X34" s="139"/>
      <c r="Y34" s="139"/>
      <c r="Z34" s="139"/>
      <c r="AA34" s="139"/>
      <c r="AB34" s="139"/>
      <c r="AC34" s="139"/>
      <c r="AD34" s="139"/>
      <c r="AE34" s="261"/>
      <c r="AF34" s="139"/>
      <c r="AG34" s="139"/>
      <c r="AH34" s="141"/>
      <c r="AI34" s="141"/>
      <c r="AJ34" s="141"/>
      <c r="AK34" s="141"/>
      <c r="AL34" s="141"/>
      <c r="AM34" s="141"/>
      <c r="AN34" s="137"/>
      <c r="AO34" s="138"/>
      <c r="AP34" s="138"/>
      <c r="AQ34" s="89"/>
    </row>
    <row r="35" spans="1:43" ht="13.15" customHeight="1" x14ac:dyDescent="0.2">
      <c r="A35" s="19"/>
      <c r="B35" s="60"/>
      <c r="C35" s="24"/>
      <c r="D35" s="24"/>
      <c r="E35" s="583" t="s">
        <v>530</v>
      </c>
      <c r="F35" s="549"/>
      <c r="G35" s="549"/>
      <c r="H35" s="549"/>
      <c r="I35" s="549"/>
      <c r="J35" s="550"/>
      <c r="K35" s="584">
        <v>1.5415000000000001</v>
      </c>
      <c r="L35" s="549"/>
      <c r="M35" s="549"/>
      <c r="N35" s="550"/>
      <c r="O35" s="98" t="s">
        <v>236</v>
      </c>
      <c r="P35" s="98" t="s">
        <v>257</v>
      </c>
      <c r="Q35" s="585" t="s">
        <v>721</v>
      </c>
      <c r="R35" s="615"/>
      <c r="S35" s="853"/>
      <c r="U35" s="89"/>
      <c r="V35" s="824"/>
      <c r="W35" s="1">
        <v>450</v>
      </c>
      <c r="X35" s="141"/>
      <c r="Y35" s="142"/>
      <c r="Z35" s="142"/>
      <c r="AA35" s="140"/>
      <c r="AB35" s="140"/>
      <c r="AC35" s="140"/>
      <c r="AD35" s="140"/>
      <c r="AE35" s="140"/>
      <c r="AF35" s="140"/>
      <c r="AG35" s="140"/>
      <c r="AH35" s="140"/>
      <c r="AI35" s="140"/>
      <c r="AJ35" s="141"/>
      <c r="AK35" s="140"/>
      <c r="AL35" s="141"/>
      <c r="AM35" s="141"/>
      <c r="AN35" s="141"/>
      <c r="AO35" s="138"/>
      <c r="AP35" s="138"/>
      <c r="AQ35" s="89"/>
    </row>
    <row r="36" spans="1:43" ht="13.15" customHeight="1" x14ac:dyDescent="0.2">
      <c r="A36" s="19"/>
      <c r="B36" s="60"/>
      <c r="C36" s="24"/>
      <c r="D36" s="24"/>
      <c r="E36" s="583" t="s">
        <v>327</v>
      </c>
      <c r="F36" s="549"/>
      <c r="G36" s="549"/>
      <c r="H36" s="549"/>
      <c r="I36" s="549"/>
      <c r="J36" s="550"/>
      <c r="K36" s="584" t="s">
        <v>330</v>
      </c>
      <c r="L36" s="549"/>
      <c r="M36" s="549"/>
      <c r="N36" s="550"/>
      <c r="O36" s="98" t="s">
        <v>236</v>
      </c>
      <c r="P36" s="98" t="s">
        <v>257</v>
      </c>
      <c r="Q36" s="585" t="s">
        <v>329</v>
      </c>
      <c r="R36" s="615"/>
      <c r="S36" s="853"/>
      <c r="U36" s="89"/>
      <c r="V36" s="658"/>
      <c r="W36" s="1">
        <v>500</v>
      </c>
      <c r="X36" s="136"/>
      <c r="Y36" s="142"/>
      <c r="Z36" s="142"/>
      <c r="AA36" s="136"/>
      <c r="AB36" s="136"/>
      <c r="AC36" s="136"/>
      <c r="AD36" s="136"/>
      <c r="AE36" s="136"/>
      <c r="AF36" s="136"/>
      <c r="AG36" s="136"/>
      <c r="AH36" s="136"/>
      <c r="AI36" s="136"/>
      <c r="AJ36" s="139"/>
      <c r="AK36" s="136"/>
      <c r="AL36" s="136"/>
      <c r="AM36" s="136"/>
      <c r="AN36" s="136"/>
      <c r="AO36" s="136"/>
      <c r="AP36" s="138"/>
      <c r="AQ36" s="89"/>
    </row>
    <row r="37" spans="1:43" ht="13.15" customHeight="1" x14ac:dyDescent="0.2">
      <c r="A37" s="19" t="s">
        <v>258</v>
      </c>
      <c r="B37" s="60"/>
      <c r="C37" s="24">
        <v>15</v>
      </c>
      <c r="D37" s="24">
        <v>40</v>
      </c>
      <c r="E37" s="583" t="s">
        <v>271</v>
      </c>
      <c r="F37" s="549"/>
      <c r="G37" s="549"/>
      <c r="H37" s="549"/>
      <c r="I37" s="549"/>
      <c r="J37" s="550"/>
      <c r="K37" s="584" t="s">
        <v>720</v>
      </c>
      <c r="L37" s="549"/>
      <c r="M37" s="549"/>
      <c r="N37" s="550"/>
      <c r="O37" s="98" t="s">
        <v>236</v>
      </c>
      <c r="P37" s="98" t="s">
        <v>246</v>
      </c>
      <c r="Q37" s="585" t="s">
        <v>307</v>
      </c>
      <c r="R37" s="615"/>
      <c r="S37" s="853"/>
      <c r="U37" s="89"/>
      <c r="V37" s="658"/>
      <c r="W37" s="1">
        <v>600</v>
      </c>
      <c r="X37" s="136"/>
      <c r="Y37" s="142"/>
      <c r="Z37" s="142"/>
      <c r="AA37" s="136"/>
      <c r="AB37" s="136"/>
      <c r="AC37" s="136"/>
      <c r="AD37" s="136"/>
      <c r="AE37" s="136"/>
      <c r="AF37" s="136"/>
      <c r="AG37" s="136"/>
      <c r="AH37" s="136"/>
      <c r="AI37" s="136"/>
      <c r="AJ37" s="136"/>
      <c r="AK37" s="136"/>
      <c r="AL37" s="136"/>
      <c r="AM37" s="136"/>
      <c r="AN37" s="136"/>
      <c r="AO37" s="136"/>
      <c r="AP37" s="136"/>
      <c r="AQ37" s="89"/>
    </row>
    <row r="38" spans="1:43" ht="13.15" customHeight="1" x14ac:dyDescent="0.2">
      <c r="A38" s="19"/>
      <c r="B38" s="60"/>
      <c r="C38" s="24">
        <v>50</v>
      </c>
      <c r="D38" s="24">
        <v>200</v>
      </c>
      <c r="E38" s="713" t="s">
        <v>378</v>
      </c>
      <c r="F38" s="714"/>
      <c r="G38" s="714"/>
      <c r="H38" s="714"/>
      <c r="I38" s="714"/>
      <c r="J38" s="715"/>
      <c r="K38" s="720" t="s">
        <v>351</v>
      </c>
      <c r="L38" s="714"/>
      <c r="M38" s="714"/>
      <c r="N38" s="715"/>
      <c r="O38" s="110"/>
      <c r="P38" s="110" t="s">
        <v>328</v>
      </c>
      <c r="Q38" s="720" t="s">
        <v>332</v>
      </c>
      <c r="R38" s="835"/>
      <c r="S38" s="854"/>
      <c r="T38" s="95"/>
      <c r="U38" s="96"/>
      <c r="V38" s="21"/>
      <c r="W38"/>
      <c r="X38">
        <v>15</v>
      </c>
      <c r="Y38" s="484" t="s">
        <v>642</v>
      </c>
      <c r="Z38" s="483">
        <v>25</v>
      </c>
      <c r="AA38" s="484" t="s">
        <v>643</v>
      </c>
      <c r="AB38">
        <v>40</v>
      </c>
      <c r="AC38">
        <v>50</v>
      </c>
      <c r="AD38" s="228" t="s">
        <v>295</v>
      </c>
      <c r="AE38">
        <v>80</v>
      </c>
      <c r="AF38">
        <v>100</v>
      </c>
      <c r="AG38" s="228" t="s">
        <v>296</v>
      </c>
      <c r="AH38">
        <v>150</v>
      </c>
      <c r="AI38">
        <v>200</v>
      </c>
      <c r="AJ38">
        <v>250</v>
      </c>
      <c r="AK38">
        <v>300</v>
      </c>
      <c r="AL38" s="2">
        <v>350</v>
      </c>
      <c r="AM38" s="2">
        <v>400</v>
      </c>
      <c r="AN38" s="2">
        <v>450</v>
      </c>
      <c r="AO38" s="2">
        <v>500</v>
      </c>
      <c r="AP38" s="2">
        <v>600</v>
      </c>
      <c r="AQ38" s="89"/>
    </row>
    <row r="39" spans="1:43" ht="13.15" customHeight="1" x14ac:dyDescent="0.2">
      <c r="A39" s="26" t="s">
        <v>216</v>
      </c>
      <c r="B39" s="454"/>
      <c r="C39" s="29">
        <v>25</v>
      </c>
      <c r="D39" s="25">
        <v>200</v>
      </c>
      <c r="E39" s="561" t="s">
        <v>384</v>
      </c>
      <c r="F39" s="562"/>
      <c r="G39" s="562"/>
      <c r="H39" s="562"/>
      <c r="I39" s="562"/>
      <c r="J39" s="563"/>
      <c r="K39" s="564" t="s">
        <v>677</v>
      </c>
      <c r="L39" s="562"/>
      <c r="M39" s="562"/>
      <c r="N39" s="563"/>
      <c r="O39" s="97" t="s">
        <v>236</v>
      </c>
      <c r="P39" s="97" t="s">
        <v>246</v>
      </c>
      <c r="Q39" s="565" t="s">
        <v>307</v>
      </c>
      <c r="R39" s="566"/>
      <c r="S39" s="827" t="s">
        <v>357</v>
      </c>
      <c r="T39" s="828"/>
      <c r="U39" s="829"/>
      <c r="V39" s="21"/>
      <c r="X39" s="659" t="s">
        <v>275</v>
      </c>
      <c r="Y39" s="660"/>
      <c r="Z39" s="660"/>
      <c r="AA39" s="660"/>
      <c r="AB39" s="660"/>
      <c r="AC39" s="660"/>
      <c r="AD39" s="660"/>
      <c r="AE39" s="660"/>
      <c r="AF39" s="660"/>
      <c r="AG39" s="660"/>
      <c r="AH39" s="660"/>
      <c r="AI39" s="660"/>
      <c r="AJ39" s="660"/>
      <c r="AK39" s="660"/>
      <c r="AL39" s="660"/>
      <c r="AM39" s="660"/>
      <c r="AN39" s="660"/>
      <c r="AO39" s="660"/>
      <c r="AP39" s="660"/>
      <c r="AQ39" s="89"/>
    </row>
    <row r="40" spans="1:43" ht="13.15" customHeight="1" x14ac:dyDescent="0.2">
      <c r="A40" s="19"/>
      <c r="B40" s="60"/>
      <c r="C40" s="24"/>
      <c r="D40" s="23"/>
      <c r="E40" s="155"/>
      <c r="F40" s="160"/>
      <c r="G40" s="160"/>
      <c r="H40" s="160"/>
      <c r="I40" s="160"/>
      <c r="J40" s="181"/>
      <c r="K40" s="182"/>
      <c r="L40" s="160"/>
      <c r="M40" s="160"/>
      <c r="N40" s="181"/>
      <c r="O40" s="98"/>
      <c r="P40" s="98"/>
      <c r="Q40" s="347"/>
      <c r="R40" s="348"/>
      <c r="S40" s="830"/>
      <c r="T40" s="831"/>
      <c r="U40" s="832"/>
      <c r="V40" s="21"/>
      <c r="X40" s="61"/>
      <c r="AQ40" s="89"/>
    </row>
    <row r="41" spans="1:43" ht="13.15" customHeight="1" x14ac:dyDescent="0.2">
      <c r="A41" s="20"/>
      <c r="B41" s="424"/>
      <c r="C41" s="28"/>
      <c r="D41" s="27"/>
      <c r="E41" s="320"/>
      <c r="F41" s="124"/>
      <c r="G41" s="124"/>
      <c r="H41" s="124"/>
      <c r="I41" s="124"/>
      <c r="J41" s="354"/>
      <c r="K41" s="321"/>
      <c r="L41" s="124"/>
      <c r="M41" s="124"/>
      <c r="N41" s="354"/>
      <c r="O41" s="110"/>
      <c r="P41" s="99"/>
      <c r="Q41" s="80"/>
      <c r="R41" s="80"/>
      <c r="S41" s="94"/>
      <c r="T41" s="95"/>
      <c r="U41" s="96"/>
      <c r="V41" s="21"/>
      <c r="X41" s="61" t="s">
        <v>627</v>
      </c>
      <c r="AQ41" s="89"/>
    </row>
    <row r="42" spans="1:43" ht="13.15" customHeight="1" x14ac:dyDescent="0.2">
      <c r="A42" s="19" t="s">
        <v>215</v>
      </c>
      <c r="B42" s="60"/>
      <c r="C42" s="24">
        <v>15</v>
      </c>
      <c r="D42" s="24">
        <v>200</v>
      </c>
      <c r="E42" s="561" t="s">
        <v>247</v>
      </c>
      <c r="F42" s="562"/>
      <c r="G42" s="562"/>
      <c r="H42" s="562"/>
      <c r="I42" s="562"/>
      <c r="J42" s="563"/>
      <c r="K42" s="564" t="s">
        <v>678</v>
      </c>
      <c r="L42" s="562"/>
      <c r="M42" s="562"/>
      <c r="N42" s="563"/>
      <c r="O42" s="97" t="s">
        <v>236</v>
      </c>
      <c r="P42" s="97" t="s">
        <v>246</v>
      </c>
      <c r="Q42" s="565" t="s">
        <v>307</v>
      </c>
      <c r="R42" s="566"/>
      <c r="S42" s="109"/>
      <c r="T42" s="91"/>
      <c r="U42" s="92"/>
      <c r="V42" s="21"/>
      <c r="X42" s="61" t="s">
        <v>692</v>
      </c>
      <c r="AQ42" s="89"/>
    </row>
    <row r="43" spans="1:43" ht="13.15" customHeight="1" x14ac:dyDescent="0.2">
      <c r="A43" s="19"/>
      <c r="B43" s="60"/>
      <c r="C43" s="24"/>
      <c r="D43" s="24"/>
      <c r="E43" s="155"/>
      <c r="F43" s="160"/>
      <c r="G43" s="160"/>
      <c r="H43" s="160"/>
      <c r="I43" s="160"/>
      <c r="J43" s="181"/>
      <c r="K43" s="182"/>
      <c r="L43" s="160"/>
      <c r="M43" s="160"/>
      <c r="N43" s="181"/>
      <c r="O43" s="98"/>
      <c r="P43" s="98"/>
      <c r="Q43" s="347"/>
      <c r="R43" s="161"/>
      <c r="S43" s="88"/>
      <c r="U43" s="89"/>
      <c r="V43" s="21"/>
      <c r="AQ43" s="89"/>
    </row>
    <row r="44" spans="1:43" ht="13.15" customHeight="1" x14ac:dyDescent="0.2">
      <c r="A44" s="20"/>
      <c r="B44" s="424"/>
      <c r="C44" s="28"/>
      <c r="D44" s="28"/>
      <c r="E44" s="320"/>
      <c r="F44" s="124"/>
      <c r="G44" s="124"/>
      <c r="H44" s="124"/>
      <c r="I44" s="124"/>
      <c r="J44" s="354"/>
      <c r="K44" s="321"/>
      <c r="L44" s="124"/>
      <c r="M44" s="124"/>
      <c r="N44" s="354"/>
      <c r="O44" s="110"/>
      <c r="P44" s="110"/>
      <c r="Q44" s="80"/>
      <c r="R44" s="80"/>
      <c r="S44" s="94"/>
      <c r="T44" s="95"/>
      <c r="U44" s="96"/>
      <c r="V44" s="21"/>
      <c r="AQ44" s="89"/>
    </row>
    <row r="45" spans="1:43" ht="13.15" customHeight="1" x14ac:dyDescent="0.2">
      <c r="A45" s="19" t="s">
        <v>214</v>
      </c>
      <c r="B45" s="60"/>
      <c r="C45" s="24">
        <v>15</v>
      </c>
      <c r="D45" s="24">
        <v>200</v>
      </c>
      <c r="E45" s="561" t="s">
        <v>483</v>
      </c>
      <c r="F45" s="562"/>
      <c r="G45" s="562"/>
      <c r="H45" s="562"/>
      <c r="I45" s="562"/>
      <c r="J45" s="563"/>
      <c r="K45" s="564" t="s">
        <v>365</v>
      </c>
      <c r="L45" s="562"/>
      <c r="M45" s="562"/>
      <c r="N45" s="563"/>
      <c r="O45" s="97" t="s">
        <v>422</v>
      </c>
      <c r="P45" s="97" t="s">
        <v>363</v>
      </c>
      <c r="Q45" s="565" t="s">
        <v>309</v>
      </c>
      <c r="R45" s="566"/>
      <c r="S45" s="109"/>
      <c r="T45" s="91"/>
      <c r="U45" s="92"/>
      <c r="V45" s="21"/>
      <c r="AQ45" s="89"/>
    </row>
    <row r="46" spans="1:43" ht="13.15" customHeight="1" x14ac:dyDescent="0.2">
      <c r="A46" s="19"/>
      <c r="B46" s="60"/>
      <c r="C46" s="24"/>
      <c r="D46" s="23"/>
      <c r="E46" s="155"/>
      <c r="F46" s="160"/>
      <c r="G46" s="160"/>
      <c r="H46" s="160"/>
      <c r="I46" s="160"/>
      <c r="J46" s="181"/>
      <c r="K46" s="182"/>
      <c r="L46" s="160"/>
      <c r="M46" s="160"/>
      <c r="N46" s="181"/>
      <c r="O46" s="98"/>
      <c r="P46" s="98"/>
      <c r="Q46" s="347"/>
      <c r="R46" s="161"/>
      <c r="S46" s="88"/>
      <c r="U46" s="89"/>
      <c r="V46" s="21"/>
      <c r="AQ46" s="89"/>
    </row>
    <row r="47" spans="1:43" ht="13.15" customHeight="1" x14ac:dyDescent="0.2">
      <c r="A47" s="19"/>
      <c r="B47" s="60"/>
      <c r="C47" s="28"/>
      <c r="D47" s="27"/>
      <c r="E47" s="155"/>
      <c r="F47" s="160"/>
      <c r="G47" s="160"/>
      <c r="H47" s="160"/>
      <c r="I47" s="160"/>
      <c r="J47" s="181"/>
      <c r="K47" s="182"/>
      <c r="L47" s="160"/>
      <c r="M47" s="160"/>
      <c r="N47" s="181"/>
      <c r="O47" s="98"/>
      <c r="P47" s="98"/>
      <c r="Q47" s="347"/>
      <c r="R47" s="161"/>
      <c r="S47" s="94"/>
      <c r="T47" s="95"/>
      <c r="U47" s="96"/>
      <c r="V47" s="21"/>
      <c r="AQ47" s="89"/>
    </row>
    <row r="48" spans="1:43" ht="13.15" customHeight="1" x14ac:dyDescent="0.2">
      <c r="A48" s="26" t="s">
        <v>213</v>
      </c>
      <c r="B48" s="435"/>
      <c r="C48" s="24">
        <v>15</v>
      </c>
      <c r="D48" s="24">
        <v>80</v>
      </c>
      <c r="E48" s="561" t="s">
        <v>514</v>
      </c>
      <c r="F48" s="562"/>
      <c r="G48" s="562"/>
      <c r="H48" s="562"/>
      <c r="I48" s="562"/>
      <c r="J48" s="563"/>
      <c r="K48" s="564" t="s">
        <v>365</v>
      </c>
      <c r="L48" s="562"/>
      <c r="M48" s="562"/>
      <c r="N48" s="563"/>
      <c r="O48" s="97" t="s">
        <v>422</v>
      </c>
      <c r="P48" s="97" t="s">
        <v>248</v>
      </c>
      <c r="Q48" s="565" t="s">
        <v>309</v>
      </c>
      <c r="R48" s="566"/>
      <c r="S48" s="109"/>
      <c r="T48" s="91"/>
      <c r="U48" s="92"/>
      <c r="V48" s="21"/>
      <c r="AQ48" s="89"/>
    </row>
    <row r="49" spans="1:43" ht="13.15" customHeight="1" x14ac:dyDescent="0.2">
      <c r="A49" s="19"/>
      <c r="B49" s="60"/>
      <c r="C49" s="24"/>
      <c r="D49" s="24"/>
      <c r="E49" s="155"/>
      <c r="F49" s="80"/>
      <c r="G49" s="80"/>
      <c r="H49" s="80"/>
      <c r="I49" s="80"/>
      <c r="J49" s="366"/>
      <c r="K49" s="182"/>
      <c r="L49" s="80"/>
      <c r="M49" s="80"/>
      <c r="N49" s="366"/>
      <c r="O49" s="98"/>
      <c r="P49" s="98"/>
      <c r="Q49" s="347"/>
      <c r="R49" s="22"/>
      <c r="S49" s="88"/>
      <c r="U49" s="89"/>
      <c r="V49" s="21"/>
      <c r="AQ49" s="89"/>
    </row>
    <row r="50" spans="1:43" ht="13.15" customHeight="1" x14ac:dyDescent="0.2">
      <c r="A50" s="20"/>
      <c r="B50" s="424"/>
      <c r="C50" s="28"/>
      <c r="D50" s="27"/>
      <c r="E50" s="155"/>
      <c r="F50" s="80"/>
      <c r="G50" s="80"/>
      <c r="H50" s="80"/>
      <c r="I50" s="80"/>
      <c r="J50" s="366"/>
      <c r="K50" s="182"/>
      <c r="L50" s="80"/>
      <c r="M50" s="80"/>
      <c r="N50" s="366"/>
      <c r="O50" s="98"/>
      <c r="P50" s="98"/>
      <c r="Q50" s="347"/>
      <c r="R50" s="22"/>
      <c r="S50" s="94"/>
      <c r="T50" s="95"/>
      <c r="U50" s="96"/>
      <c r="V50" s="21"/>
      <c r="AQ50" s="89"/>
    </row>
    <row r="51" spans="1:43" ht="13.15" customHeight="1" x14ac:dyDescent="0.2">
      <c r="A51" s="19" t="s">
        <v>264</v>
      </c>
      <c r="B51" s="60"/>
      <c r="C51" s="24" t="s">
        <v>313</v>
      </c>
      <c r="D51" s="24" t="s">
        <v>314</v>
      </c>
      <c r="E51" s="561" t="s">
        <v>458</v>
      </c>
      <c r="F51" s="562"/>
      <c r="G51" s="562"/>
      <c r="H51" s="562"/>
      <c r="I51" s="562"/>
      <c r="J51" s="563"/>
      <c r="K51" s="564" t="s">
        <v>655</v>
      </c>
      <c r="L51" s="562"/>
      <c r="M51" s="562"/>
      <c r="N51" s="563"/>
      <c r="O51" s="97" t="s">
        <v>422</v>
      </c>
      <c r="P51" s="97" t="s">
        <v>257</v>
      </c>
      <c r="Q51" s="362" t="s">
        <v>369</v>
      </c>
      <c r="R51" s="363"/>
      <c r="S51" s="109"/>
      <c r="T51" s="91"/>
      <c r="U51" s="92"/>
      <c r="V51" s="21"/>
      <c r="AQ51" s="89"/>
    </row>
    <row r="52" spans="1:43" ht="13.15" customHeight="1" x14ac:dyDescent="0.2">
      <c r="A52" s="20"/>
      <c r="B52" s="424"/>
      <c r="C52" s="28"/>
      <c r="D52" s="28"/>
      <c r="E52" s="320"/>
      <c r="F52" s="349"/>
      <c r="G52" s="349"/>
      <c r="H52" s="349"/>
      <c r="I52" s="349"/>
      <c r="J52" s="350"/>
      <c r="K52" s="321"/>
      <c r="L52" s="349"/>
      <c r="M52" s="349"/>
      <c r="N52" s="350"/>
      <c r="O52" s="146"/>
      <c r="P52" s="146"/>
      <c r="Q52" s="355"/>
      <c r="R52" s="367"/>
      <c r="S52" s="93"/>
      <c r="T52" s="266"/>
      <c r="U52" s="267"/>
      <c r="V52" s="21"/>
      <c r="AQ52" s="89"/>
    </row>
    <row r="53" spans="1:43" ht="13.15" customHeight="1" x14ac:dyDescent="0.2">
      <c r="A53" s="19" t="s">
        <v>212</v>
      </c>
      <c r="B53" s="60"/>
      <c r="C53" s="24" t="s">
        <v>313</v>
      </c>
      <c r="D53" s="24" t="s">
        <v>314</v>
      </c>
      <c r="E53" s="561" t="s">
        <v>315</v>
      </c>
      <c r="F53" s="562"/>
      <c r="G53" s="562"/>
      <c r="H53" s="562"/>
      <c r="I53" s="562"/>
      <c r="J53" s="563"/>
      <c r="K53" s="564" t="s">
        <v>655</v>
      </c>
      <c r="L53" s="562"/>
      <c r="M53" s="562"/>
      <c r="N53" s="563"/>
      <c r="O53" s="97" t="s">
        <v>422</v>
      </c>
      <c r="P53" s="97" t="s">
        <v>257</v>
      </c>
      <c r="Q53" s="362" t="s">
        <v>316</v>
      </c>
      <c r="R53" s="363"/>
      <c r="S53" s="109"/>
      <c r="T53" s="91"/>
      <c r="U53" s="92"/>
      <c r="V53" s="21"/>
      <c r="AQ53" s="89"/>
    </row>
    <row r="54" spans="1:43" ht="13.15" customHeight="1" x14ac:dyDescent="0.2">
      <c r="A54" s="20"/>
      <c r="B54" s="424"/>
      <c r="C54" s="28"/>
      <c r="D54" s="28"/>
      <c r="E54" s="320"/>
      <c r="F54" s="349"/>
      <c r="G54" s="349"/>
      <c r="H54" s="349"/>
      <c r="I54" s="349"/>
      <c r="J54" s="350"/>
      <c r="K54" s="321"/>
      <c r="L54" s="349"/>
      <c r="M54" s="349"/>
      <c r="N54" s="350"/>
      <c r="O54" s="110"/>
      <c r="P54" s="110"/>
      <c r="Q54" s="353"/>
      <c r="R54" s="352"/>
      <c r="S54" s="93"/>
      <c r="T54" s="95"/>
      <c r="U54" s="96"/>
      <c r="V54" s="21"/>
      <c r="W54" s="310"/>
      <c r="X54" s="310"/>
      <c r="Y54" s="311"/>
      <c r="Z54" s="311"/>
      <c r="AA54" s="311"/>
      <c r="AB54" s="311"/>
      <c r="AC54" s="311"/>
      <c r="AD54" s="311"/>
      <c r="AE54" s="310"/>
      <c r="AF54" s="311"/>
      <c r="AG54" s="311"/>
      <c r="AH54" s="311"/>
      <c r="AI54" s="310"/>
      <c r="AJ54" s="310"/>
      <c r="AK54" s="310"/>
      <c r="AL54" s="311"/>
      <c r="AM54" s="310"/>
      <c r="AN54" s="161"/>
      <c r="AO54" s="161"/>
      <c r="AP54" s="311"/>
      <c r="AQ54" s="89"/>
    </row>
    <row r="55" spans="1:43" ht="13.15" customHeight="1" x14ac:dyDescent="0.2">
      <c r="A55" s="19" t="s">
        <v>211</v>
      </c>
      <c r="B55" s="60"/>
      <c r="C55" s="29">
        <v>15</v>
      </c>
      <c r="D55" s="25">
        <v>200</v>
      </c>
      <c r="E55" s="561" t="s">
        <v>263</v>
      </c>
      <c r="F55" s="562"/>
      <c r="G55" s="562"/>
      <c r="H55" s="562"/>
      <c r="I55" s="562"/>
      <c r="J55" s="563"/>
      <c r="K55" s="564" t="s">
        <v>724</v>
      </c>
      <c r="L55" s="562"/>
      <c r="M55" s="562"/>
      <c r="N55" s="563"/>
      <c r="O55" s="97" t="s">
        <v>422</v>
      </c>
      <c r="P55" s="97"/>
      <c r="Q55" s="565" t="s">
        <v>339</v>
      </c>
      <c r="R55" s="576"/>
      <c r="S55" s="825" t="s">
        <v>669</v>
      </c>
      <c r="T55" s="552"/>
      <c r="U55" s="826"/>
      <c r="V55" s="21"/>
      <c r="W55" s="624" t="s">
        <v>259</v>
      </c>
      <c r="X55" s="551" t="s">
        <v>197</v>
      </c>
      <c r="Y55" s="552"/>
      <c r="Z55" s="552"/>
      <c r="AA55" s="552"/>
      <c r="AB55" s="552"/>
      <c r="AC55" s="552"/>
      <c r="AD55" s="553"/>
      <c r="AE55" s="557" t="s">
        <v>241</v>
      </c>
      <c r="AF55" s="552"/>
      <c r="AG55" s="552"/>
      <c r="AH55" s="553"/>
      <c r="AI55" s="559" t="s">
        <v>243</v>
      </c>
      <c r="AJ55" s="559" t="s">
        <v>242</v>
      </c>
      <c r="AK55" s="557" t="s">
        <v>244</v>
      </c>
      <c r="AL55" s="553"/>
      <c r="AM55" s="557" t="s">
        <v>245</v>
      </c>
      <c r="AN55" s="626"/>
      <c r="AO55" s="626"/>
      <c r="AP55" s="627"/>
      <c r="AQ55" s="89"/>
    </row>
    <row r="56" spans="1:43" ht="13.15" customHeight="1" x14ac:dyDescent="0.2">
      <c r="A56" s="19"/>
      <c r="B56" s="60"/>
      <c r="C56" s="24"/>
      <c r="D56" s="23"/>
      <c r="E56" s="155"/>
      <c r="F56" s="160"/>
      <c r="G56" s="160"/>
      <c r="H56" s="160"/>
      <c r="I56" s="160"/>
      <c r="J56" s="181"/>
      <c r="K56" s="182"/>
      <c r="L56" s="160"/>
      <c r="M56" s="160"/>
      <c r="N56" s="181"/>
      <c r="O56" s="98"/>
      <c r="P56" s="98"/>
      <c r="Q56" s="183"/>
      <c r="R56" s="161"/>
      <c r="S56" s="93"/>
      <c r="T56" s="311"/>
      <c r="U56" s="371"/>
      <c r="V56" s="21"/>
      <c r="W56" s="625"/>
      <c r="X56" s="554"/>
      <c r="Y56" s="555"/>
      <c r="Z56" s="555"/>
      <c r="AA56" s="555"/>
      <c r="AB56" s="555"/>
      <c r="AC56" s="555"/>
      <c r="AD56" s="556"/>
      <c r="AE56" s="558"/>
      <c r="AF56" s="555"/>
      <c r="AG56" s="555"/>
      <c r="AH56" s="556"/>
      <c r="AI56" s="560"/>
      <c r="AJ56" s="560"/>
      <c r="AK56" s="558"/>
      <c r="AL56" s="556"/>
      <c r="AM56" s="628"/>
      <c r="AN56" s="586"/>
      <c r="AO56" s="586"/>
      <c r="AP56" s="629"/>
      <c r="AQ56" s="89"/>
    </row>
    <row r="57" spans="1:43" ht="13.15" customHeight="1" x14ac:dyDescent="0.2">
      <c r="A57" s="19"/>
      <c r="B57" s="60"/>
      <c r="C57" s="27"/>
      <c r="D57" s="27"/>
      <c r="E57" s="155"/>
      <c r="F57" s="160"/>
      <c r="G57" s="160"/>
      <c r="H57" s="160"/>
      <c r="I57" s="160"/>
      <c r="J57" s="181"/>
      <c r="K57" s="321"/>
      <c r="L57" s="349"/>
      <c r="M57" s="349"/>
      <c r="N57" s="350"/>
      <c r="O57" s="110"/>
      <c r="P57" s="110"/>
      <c r="Q57" s="511"/>
      <c r="R57" s="352"/>
      <c r="S57" s="88"/>
      <c r="U57" s="89"/>
      <c r="V57" s="21"/>
      <c r="W57" s="127" t="s">
        <v>390</v>
      </c>
      <c r="X57" s="630" t="s">
        <v>349</v>
      </c>
      <c r="Y57" s="552"/>
      <c r="Z57" s="552"/>
      <c r="AA57" s="552"/>
      <c r="AB57" s="552"/>
      <c r="AC57" s="552"/>
      <c r="AD57" s="553"/>
      <c r="AE57" s="572">
        <v>1.5415000000000001</v>
      </c>
      <c r="AF57" s="573"/>
      <c r="AG57" s="573"/>
      <c r="AH57" s="574"/>
      <c r="AI57" s="125" t="s">
        <v>236</v>
      </c>
      <c r="AJ57" s="125" t="s">
        <v>246</v>
      </c>
      <c r="AK57" s="575" t="s">
        <v>348</v>
      </c>
      <c r="AL57" s="576"/>
      <c r="AM57" s="90"/>
      <c r="AN57" s="91"/>
      <c r="AO57" s="91"/>
      <c r="AP57" s="129"/>
      <c r="AQ57" s="89"/>
    </row>
    <row r="58" spans="1:43" ht="13.15" customHeight="1" x14ac:dyDescent="0.2">
      <c r="A58" s="375" t="s">
        <v>547</v>
      </c>
      <c r="B58" s="462"/>
      <c r="C58" s="376"/>
      <c r="D58" s="376"/>
      <c r="E58" s="587"/>
      <c r="F58" s="588"/>
      <c r="G58" s="588"/>
      <c r="H58" s="588"/>
      <c r="I58" s="588"/>
      <c r="J58" s="589"/>
      <c r="K58" s="590"/>
      <c r="L58" s="588"/>
      <c r="M58" s="588"/>
      <c r="N58" s="589"/>
      <c r="O58" s="377" t="s">
        <v>422</v>
      </c>
      <c r="P58" s="377"/>
      <c r="Q58" s="591" t="s">
        <v>549</v>
      </c>
      <c r="R58" s="592"/>
      <c r="S58" s="378"/>
      <c r="T58" s="379"/>
      <c r="U58" s="380"/>
      <c r="V58" s="21"/>
      <c r="W58" s="128" t="s">
        <v>391</v>
      </c>
      <c r="X58" s="546" t="s">
        <v>350</v>
      </c>
      <c r="Y58" s="547"/>
      <c r="Z58" s="547"/>
      <c r="AA58" s="547"/>
      <c r="AB58" s="547"/>
      <c r="AC58" s="547"/>
      <c r="AD58" s="548"/>
      <c r="AE58" s="541">
        <v>1.5415000000000001</v>
      </c>
      <c r="AF58" s="542"/>
      <c r="AG58" s="542"/>
      <c r="AH58" s="543"/>
      <c r="AI58" s="126" t="s">
        <v>236</v>
      </c>
      <c r="AJ58" s="126" t="s">
        <v>246</v>
      </c>
      <c r="AK58" s="544" t="s">
        <v>348</v>
      </c>
      <c r="AL58" s="545"/>
      <c r="AM58" s="88"/>
      <c r="AP58" s="130"/>
      <c r="AQ58" s="89"/>
    </row>
    <row r="59" spans="1:43" ht="13.15" customHeight="1" x14ac:dyDescent="0.2">
      <c r="A59" s="26" t="s">
        <v>278</v>
      </c>
      <c r="B59" s="60"/>
      <c r="C59" s="24" t="s">
        <v>210</v>
      </c>
      <c r="D59" s="25">
        <v>50</v>
      </c>
      <c r="E59" s="561" t="s">
        <v>507</v>
      </c>
      <c r="F59" s="595"/>
      <c r="G59" s="595"/>
      <c r="H59" s="595"/>
      <c r="I59" s="595"/>
      <c r="J59" s="596"/>
      <c r="K59" s="597" t="s">
        <v>451</v>
      </c>
      <c r="L59" s="598"/>
      <c r="M59" s="598"/>
      <c r="N59" s="599"/>
      <c r="O59" s="97" t="s">
        <v>422</v>
      </c>
      <c r="P59" s="97" t="s">
        <v>283</v>
      </c>
      <c r="Q59" s="565" t="s">
        <v>266</v>
      </c>
      <c r="R59" s="566"/>
      <c r="S59" s="90"/>
      <c r="T59" s="91"/>
      <c r="U59" s="92"/>
      <c r="V59" s="21"/>
      <c r="W59" s="128" t="s">
        <v>345</v>
      </c>
      <c r="X59" s="546" t="s">
        <v>431</v>
      </c>
      <c r="Y59" s="547"/>
      <c r="Z59" s="547"/>
      <c r="AA59" s="547"/>
      <c r="AB59" s="547"/>
      <c r="AC59" s="547"/>
      <c r="AD59" s="548"/>
      <c r="AE59" s="541" t="s">
        <v>393</v>
      </c>
      <c r="AF59" s="542"/>
      <c r="AG59" s="542"/>
      <c r="AH59" s="543"/>
      <c r="AI59" s="126" t="s">
        <v>236</v>
      </c>
      <c r="AJ59" s="126" t="s">
        <v>328</v>
      </c>
      <c r="AK59" s="544" t="s">
        <v>347</v>
      </c>
      <c r="AL59" s="545"/>
      <c r="AM59" s="88"/>
      <c r="AP59" s="130"/>
      <c r="AQ59" s="89"/>
    </row>
    <row r="60" spans="1:43" ht="13.15" customHeight="1" x14ac:dyDescent="0.2">
      <c r="A60" s="178" t="s">
        <v>279</v>
      </c>
      <c r="B60" s="374"/>
      <c r="C60" s="24">
        <v>80</v>
      </c>
      <c r="D60" s="23" t="s">
        <v>277</v>
      </c>
      <c r="E60" s="619" t="s">
        <v>508</v>
      </c>
      <c r="F60" s="620"/>
      <c r="G60" s="620"/>
      <c r="H60" s="620"/>
      <c r="I60" s="620"/>
      <c r="J60" s="621"/>
      <c r="K60" s="567" t="s">
        <v>451</v>
      </c>
      <c r="L60" s="568"/>
      <c r="M60" s="568"/>
      <c r="N60" s="569"/>
      <c r="O60" s="98" t="s">
        <v>422</v>
      </c>
      <c r="P60" s="98" t="s">
        <v>283</v>
      </c>
      <c r="Q60" s="570" t="s">
        <v>266</v>
      </c>
      <c r="R60" s="571"/>
      <c r="S60" s="88"/>
      <c r="U60" s="89"/>
      <c r="V60" s="21"/>
      <c r="W60" s="128" t="s">
        <v>346</v>
      </c>
      <c r="X60" s="546" t="s">
        <v>432</v>
      </c>
      <c r="Y60" s="547"/>
      <c r="Z60" s="547"/>
      <c r="AA60" s="547"/>
      <c r="AB60" s="547"/>
      <c r="AC60" s="547"/>
      <c r="AD60" s="548"/>
      <c r="AE60" s="541" t="s">
        <v>393</v>
      </c>
      <c r="AF60" s="542"/>
      <c r="AG60" s="542"/>
      <c r="AH60" s="543"/>
      <c r="AI60" s="126" t="s">
        <v>236</v>
      </c>
      <c r="AJ60" s="126" t="s">
        <v>328</v>
      </c>
      <c r="AK60" s="544" t="s">
        <v>347</v>
      </c>
      <c r="AL60" s="545"/>
      <c r="AM60" s="329" t="s">
        <v>631</v>
      </c>
      <c r="AP60" s="130"/>
      <c r="AQ60" s="89"/>
    </row>
    <row r="61" spans="1:43" ht="13.15" customHeight="1" x14ac:dyDescent="0.2">
      <c r="A61" s="178" t="s">
        <v>280</v>
      </c>
      <c r="B61" s="374"/>
      <c r="C61" s="24"/>
      <c r="D61" s="23"/>
      <c r="E61" s="184"/>
      <c r="F61" s="179"/>
      <c r="G61" s="179"/>
      <c r="H61" s="179"/>
      <c r="I61" s="179"/>
      <c r="J61" s="179"/>
      <c r="K61" s="179"/>
      <c r="L61" s="179"/>
      <c r="M61" s="179"/>
      <c r="N61" s="179"/>
      <c r="O61" s="179"/>
      <c r="P61" s="179"/>
      <c r="Q61" s="179"/>
      <c r="R61" s="180"/>
      <c r="S61" s="88"/>
      <c r="U61" s="89"/>
      <c r="V61" s="21"/>
      <c r="W61" s="128" t="s">
        <v>328</v>
      </c>
      <c r="X61" s="546" t="s">
        <v>395</v>
      </c>
      <c r="Y61" s="547"/>
      <c r="Z61" s="547"/>
      <c r="AA61" s="547"/>
      <c r="AB61" s="547"/>
      <c r="AC61" s="547"/>
      <c r="AD61" s="548"/>
      <c r="AE61" s="541" t="s">
        <v>392</v>
      </c>
      <c r="AF61" s="542"/>
      <c r="AG61" s="542"/>
      <c r="AH61" s="543"/>
      <c r="AI61" s="126" t="s">
        <v>236</v>
      </c>
      <c r="AJ61" s="126" t="s">
        <v>328</v>
      </c>
      <c r="AK61" s="544" t="s">
        <v>347</v>
      </c>
      <c r="AL61" s="545"/>
      <c r="AM61" s="329" t="s">
        <v>631</v>
      </c>
      <c r="AP61" s="130"/>
      <c r="AQ61" s="89"/>
    </row>
    <row r="62" spans="1:43" ht="13.15" customHeight="1" x14ac:dyDescent="0.2">
      <c r="A62" s="178" t="s">
        <v>281</v>
      </c>
      <c r="B62" s="374"/>
      <c r="C62" s="24"/>
      <c r="D62" s="23"/>
      <c r="E62" s="155"/>
      <c r="F62" s="80"/>
      <c r="G62" s="80"/>
      <c r="H62" s="80"/>
      <c r="I62" s="80"/>
      <c r="J62" s="80"/>
      <c r="K62" s="80"/>
      <c r="L62" s="80"/>
      <c r="M62" s="80"/>
      <c r="N62" s="80"/>
      <c r="O62" s="80"/>
      <c r="P62" s="80"/>
      <c r="Q62" s="80"/>
      <c r="R62" s="80"/>
      <c r="S62" s="88"/>
      <c r="U62" s="89"/>
      <c r="V62" s="21"/>
      <c r="W62" s="128"/>
      <c r="X62" s="260"/>
      <c r="Y62" s="160"/>
      <c r="Z62" s="160"/>
      <c r="AA62" s="160"/>
      <c r="AB62" s="160"/>
      <c r="AE62" s="541"/>
      <c r="AF62" s="542"/>
      <c r="AG62" s="542"/>
      <c r="AH62" s="543"/>
      <c r="AI62" s="126"/>
      <c r="AJ62" s="126"/>
      <c r="AK62" s="544"/>
      <c r="AL62" s="545"/>
      <c r="AM62" s="88"/>
      <c r="AP62" s="130"/>
      <c r="AQ62" s="89"/>
    </row>
    <row r="63" spans="1:43" ht="13.15" customHeight="1" x14ac:dyDescent="0.2">
      <c r="A63" s="178" t="s">
        <v>282</v>
      </c>
      <c r="B63" s="374"/>
      <c r="C63" s="23"/>
      <c r="D63" s="22"/>
      <c r="E63" s="155"/>
      <c r="F63" s="80"/>
      <c r="G63" s="80"/>
      <c r="H63" s="80"/>
      <c r="I63" s="80"/>
      <c r="J63" s="80"/>
      <c r="K63" s="80"/>
      <c r="L63" s="80"/>
      <c r="M63" s="80"/>
      <c r="N63" s="80"/>
      <c r="O63" s="80"/>
      <c r="P63" s="80"/>
      <c r="Q63" s="80"/>
      <c r="R63" s="80"/>
      <c r="S63" s="94"/>
      <c r="T63" s="95"/>
      <c r="U63" s="96"/>
      <c r="V63" s="21"/>
      <c r="W63" s="132"/>
      <c r="X63" s="94"/>
      <c r="Y63" s="95"/>
      <c r="Z63" s="95"/>
      <c r="AA63" s="95"/>
      <c r="AB63" s="95"/>
      <c r="AC63" s="95"/>
      <c r="AD63" s="133"/>
      <c r="AE63" s="134"/>
      <c r="AF63" s="95"/>
      <c r="AG63" s="95"/>
      <c r="AH63" s="133"/>
      <c r="AI63" s="135"/>
      <c r="AJ63" s="135"/>
      <c r="AK63" s="134"/>
      <c r="AL63" s="131"/>
      <c r="AM63" s="95"/>
      <c r="AN63" s="95"/>
      <c r="AO63" s="95"/>
      <c r="AP63" s="131"/>
      <c r="AQ63" s="89"/>
    </row>
    <row r="64" spans="1:43" ht="13.15" customHeight="1" x14ac:dyDescent="0.2">
      <c r="A64" s="741" t="s">
        <v>662</v>
      </c>
      <c r="B64" s="742"/>
      <c r="C64" s="689"/>
      <c r="D64" s="689"/>
      <c r="E64" s="689"/>
      <c r="F64" s="689"/>
      <c r="G64" s="689"/>
      <c r="H64" s="689"/>
      <c r="I64" s="689"/>
      <c r="J64" s="689"/>
      <c r="K64" s="689"/>
      <c r="L64" s="689"/>
      <c r="M64" s="689"/>
      <c r="N64" s="689"/>
      <c r="O64" s="689"/>
      <c r="P64" s="689"/>
      <c r="Q64" s="689"/>
      <c r="R64" s="743"/>
      <c r="S64" s="327" t="s">
        <v>479</v>
      </c>
      <c r="T64" s="91"/>
      <c r="U64" s="92"/>
      <c r="V64" s="21"/>
      <c r="AQ64" s="89"/>
    </row>
    <row r="65" spans="1:43" ht="13.15" customHeight="1" x14ac:dyDescent="0.2">
      <c r="A65" s="744"/>
      <c r="B65" s="692"/>
      <c r="C65" s="692"/>
      <c r="D65" s="692"/>
      <c r="E65" s="692"/>
      <c r="F65" s="692"/>
      <c r="G65" s="692"/>
      <c r="H65" s="692"/>
      <c r="I65" s="692"/>
      <c r="J65" s="692"/>
      <c r="K65" s="692"/>
      <c r="L65" s="692"/>
      <c r="M65" s="692"/>
      <c r="N65" s="692"/>
      <c r="O65" s="692"/>
      <c r="P65" s="692"/>
      <c r="Q65" s="692"/>
      <c r="R65" s="745"/>
      <c r="S65" s="93" t="s">
        <v>480</v>
      </c>
      <c r="U65" s="89"/>
      <c r="V65" s="21"/>
      <c r="AQ65" s="89"/>
    </row>
    <row r="66" spans="1:43" ht="13.15" customHeight="1" x14ac:dyDescent="0.2">
      <c r="A66" s="744"/>
      <c r="B66" s="692"/>
      <c r="C66" s="692"/>
      <c r="D66" s="692"/>
      <c r="E66" s="692"/>
      <c r="F66" s="692"/>
      <c r="G66" s="692"/>
      <c r="H66" s="692"/>
      <c r="I66" s="692"/>
      <c r="J66" s="692"/>
      <c r="K66" s="692"/>
      <c r="L66" s="692"/>
      <c r="M66" s="692"/>
      <c r="N66" s="692"/>
      <c r="O66" s="692"/>
      <c r="P66" s="692"/>
      <c r="Q66" s="692"/>
      <c r="R66" s="745"/>
      <c r="S66" s="93" t="s">
        <v>486</v>
      </c>
      <c r="U66" s="89"/>
      <c r="V66" s="21"/>
      <c r="AQ66" s="89"/>
    </row>
    <row r="67" spans="1:43" ht="13.15" customHeight="1" x14ac:dyDescent="0.2">
      <c r="A67" s="744"/>
      <c r="B67" s="692"/>
      <c r="C67" s="692"/>
      <c r="D67" s="692"/>
      <c r="E67" s="692"/>
      <c r="F67" s="692"/>
      <c r="G67" s="692"/>
      <c r="H67" s="692"/>
      <c r="I67" s="692"/>
      <c r="J67" s="692"/>
      <c r="K67" s="692"/>
      <c r="L67" s="692"/>
      <c r="M67" s="692"/>
      <c r="N67" s="692"/>
      <c r="O67" s="692"/>
      <c r="P67" s="692"/>
      <c r="Q67" s="692"/>
      <c r="R67" s="745"/>
      <c r="S67" s="93" t="s">
        <v>487</v>
      </c>
      <c r="U67" s="89"/>
      <c r="V67" s="21"/>
      <c r="AQ67" s="89"/>
    </row>
    <row r="68" spans="1:43" ht="13.15" customHeight="1" x14ac:dyDescent="0.2">
      <c r="A68" s="744"/>
      <c r="B68" s="692"/>
      <c r="C68" s="692"/>
      <c r="D68" s="692"/>
      <c r="E68" s="692"/>
      <c r="F68" s="692"/>
      <c r="G68" s="692"/>
      <c r="H68" s="692"/>
      <c r="I68" s="692"/>
      <c r="J68" s="692"/>
      <c r="K68" s="692"/>
      <c r="L68" s="692"/>
      <c r="M68" s="692"/>
      <c r="N68" s="692"/>
      <c r="O68" s="692"/>
      <c r="P68" s="692"/>
      <c r="Q68" s="692"/>
      <c r="R68" s="745"/>
      <c r="S68" s="93" t="s">
        <v>488</v>
      </c>
      <c r="U68" s="89"/>
      <c r="V68" s="21"/>
      <c r="AQ68" s="89"/>
    </row>
    <row r="69" spans="1:43" ht="13.15" customHeight="1" x14ac:dyDescent="0.2">
      <c r="A69" s="744"/>
      <c r="B69" s="692"/>
      <c r="C69" s="692"/>
      <c r="D69" s="692"/>
      <c r="E69" s="692"/>
      <c r="F69" s="692"/>
      <c r="G69" s="692"/>
      <c r="H69" s="692"/>
      <c r="I69" s="692"/>
      <c r="J69" s="692"/>
      <c r="K69" s="692"/>
      <c r="L69" s="692"/>
      <c r="M69" s="692"/>
      <c r="N69" s="692"/>
      <c r="O69" s="692"/>
      <c r="P69" s="692"/>
      <c r="Q69" s="692"/>
      <c r="R69" s="745"/>
      <c r="S69" s="60" t="s">
        <v>499</v>
      </c>
      <c r="U69" s="89"/>
      <c r="V69" s="21"/>
      <c r="AQ69" s="89"/>
    </row>
    <row r="70" spans="1:43" ht="13.15" customHeight="1" x14ac:dyDescent="0.2">
      <c r="A70" s="622" t="s">
        <v>535</v>
      </c>
      <c r="B70" s="623"/>
      <c r="C70" s="623"/>
      <c r="D70" s="623"/>
      <c r="E70" s="623"/>
      <c r="F70" s="623"/>
      <c r="G70" s="623"/>
      <c r="H70" s="623"/>
      <c r="I70" s="623"/>
      <c r="J70" s="623"/>
      <c r="K70" s="623"/>
      <c r="L70" s="623"/>
      <c r="M70" s="623"/>
      <c r="N70" s="623"/>
      <c r="O70" s="623"/>
      <c r="P70" s="623"/>
      <c r="Q70" s="623"/>
      <c r="R70" s="623"/>
      <c r="S70" s="93" t="s">
        <v>498</v>
      </c>
      <c r="U70" s="89"/>
      <c r="V70" s="21"/>
      <c r="AQ70" s="89"/>
    </row>
    <row r="71" spans="1:43" ht="13.15" customHeight="1" x14ac:dyDescent="0.2">
      <c r="A71" s="19" t="s">
        <v>260</v>
      </c>
      <c r="B71" s="435"/>
      <c r="C71" s="583" t="s">
        <v>269</v>
      </c>
      <c r="D71" s="602"/>
      <c r="E71" s="602"/>
      <c r="F71" s="602"/>
      <c r="G71" s="602"/>
      <c r="H71" s="602"/>
      <c r="I71" s="602"/>
      <c r="J71" s="602"/>
      <c r="K71" s="602"/>
      <c r="L71" s="602"/>
      <c r="M71" s="602"/>
      <c r="N71" s="602"/>
      <c r="O71" s="602"/>
      <c r="P71" s="602"/>
      <c r="Q71" s="602"/>
      <c r="R71" s="602"/>
      <c r="S71" s="93" t="s">
        <v>489</v>
      </c>
      <c r="U71" s="89"/>
      <c r="V71" s="21"/>
      <c r="AQ71" s="89"/>
    </row>
    <row r="72" spans="1:43" ht="13.15" customHeight="1" x14ac:dyDescent="0.2">
      <c r="A72" s="375" t="s">
        <v>478</v>
      </c>
      <c r="B72" s="463"/>
      <c r="C72" s="587" t="s">
        <v>269</v>
      </c>
      <c r="D72" s="609"/>
      <c r="E72" s="609"/>
      <c r="F72" s="609"/>
      <c r="G72" s="609"/>
      <c r="H72" s="609"/>
      <c r="I72" s="609"/>
      <c r="J72" s="609"/>
      <c r="K72" s="609"/>
      <c r="L72" s="609"/>
      <c r="M72" s="609"/>
      <c r="N72" s="609"/>
      <c r="O72" s="609"/>
      <c r="P72" s="609"/>
      <c r="Q72" s="609"/>
      <c r="R72" s="609"/>
      <c r="S72" s="93" t="s">
        <v>490</v>
      </c>
      <c r="U72" s="89"/>
      <c r="V72" s="21"/>
      <c r="AQ72" s="89"/>
    </row>
    <row r="73" spans="1:43" ht="13.15" customHeight="1" x14ac:dyDescent="0.2">
      <c r="A73" s="19" t="s">
        <v>372</v>
      </c>
      <c r="B73" s="60"/>
      <c r="C73" s="583" t="s">
        <v>320</v>
      </c>
      <c r="D73" s="600"/>
      <c r="E73" s="600"/>
      <c r="F73" s="600"/>
      <c r="G73" s="600"/>
      <c r="H73" s="600"/>
      <c r="I73" s="600"/>
      <c r="J73" s="600"/>
      <c r="K73" s="600"/>
      <c r="L73" s="600"/>
      <c r="M73" s="600"/>
      <c r="N73" s="600"/>
      <c r="O73" s="600"/>
      <c r="P73" s="600"/>
      <c r="Q73" s="600"/>
      <c r="R73" s="600"/>
      <c r="S73" s="93" t="s">
        <v>491</v>
      </c>
      <c r="U73" s="89"/>
      <c r="V73" s="21"/>
      <c r="AQ73" s="89"/>
    </row>
    <row r="74" spans="1:43" ht="13.15" customHeight="1" x14ac:dyDescent="0.2">
      <c r="A74" s="19" t="s">
        <v>373</v>
      </c>
      <c r="B74" s="60"/>
      <c r="C74" s="610" t="s">
        <v>626</v>
      </c>
      <c r="D74" s="611"/>
      <c r="E74" s="611"/>
      <c r="F74" s="611"/>
      <c r="G74" s="611"/>
      <c r="H74" s="611"/>
      <c r="I74" s="611"/>
      <c r="J74" s="611"/>
      <c r="K74" s="611"/>
      <c r="L74" s="611"/>
      <c r="M74" s="611"/>
      <c r="N74" s="611"/>
      <c r="O74" s="611"/>
      <c r="P74" s="611"/>
      <c r="Q74" s="611"/>
      <c r="R74" s="612"/>
      <c r="S74" s="93" t="s">
        <v>492</v>
      </c>
      <c r="U74" s="89"/>
      <c r="V74" s="21"/>
      <c r="AQ74" s="89"/>
    </row>
    <row r="75" spans="1:43" ht="13.15" customHeight="1" x14ac:dyDescent="0.2">
      <c r="A75" s="19" t="s">
        <v>261</v>
      </c>
      <c r="B75" s="60"/>
      <c r="C75" s="610" t="s">
        <v>321</v>
      </c>
      <c r="D75" s="613"/>
      <c r="E75" s="613"/>
      <c r="F75" s="613"/>
      <c r="G75" s="613"/>
      <c r="H75" s="613"/>
      <c r="I75" s="613"/>
      <c r="J75" s="613"/>
      <c r="K75" s="613"/>
      <c r="L75" s="613"/>
      <c r="M75" s="613"/>
      <c r="N75" s="613"/>
      <c r="O75" s="613"/>
      <c r="P75" s="613"/>
      <c r="Q75" s="613"/>
      <c r="R75" s="614"/>
      <c r="S75" s="93" t="s">
        <v>493</v>
      </c>
      <c r="U75" s="89"/>
      <c r="V75" s="21"/>
      <c r="AQ75" s="89"/>
    </row>
    <row r="76" spans="1:43" ht="13.15" customHeight="1" x14ac:dyDescent="0.2">
      <c r="A76" s="19" t="s">
        <v>262</v>
      </c>
      <c r="B76" s="60"/>
      <c r="C76" s="583" t="s">
        <v>324</v>
      </c>
      <c r="D76" s="600"/>
      <c r="E76" s="600"/>
      <c r="F76" s="600"/>
      <c r="G76" s="600"/>
      <c r="H76" s="600"/>
      <c r="I76" s="600"/>
      <c r="J76" s="600"/>
      <c r="K76" s="600"/>
      <c r="L76" s="600"/>
      <c r="M76" s="600"/>
      <c r="N76" s="600"/>
      <c r="O76" s="600"/>
      <c r="P76" s="600"/>
      <c r="Q76" s="600"/>
      <c r="R76" s="600"/>
      <c r="S76" s="88"/>
      <c r="U76" s="89"/>
      <c r="V76" s="21"/>
      <c r="AQ76" s="89"/>
    </row>
    <row r="77" spans="1:43" ht="13.15" customHeight="1" x14ac:dyDescent="0.2">
      <c r="A77" s="19"/>
      <c r="B77" s="60"/>
      <c r="C77" s="583" t="s">
        <v>228</v>
      </c>
      <c r="D77" s="600"/>
      <c r="E77" s="600"/>
      <c r="F77" s="600"/>
      <c r="G77" s="600"/>
      <c r="H77" s="600"/>
      <c r="I77" s="600"/>
      <c r="J77" s="600"/>
      <c r="K77" s="600"/>
      <c r="L77" s="600"/>
      <c r="M77" s="600"/>
      <c r="N77" s="600"/>
      <c r="O77" s="600"/>
      <c r="P77" s="600"/>
      <c r="Q77" s="600"/>
      <c r="R77" s="600"/>
      <c r="S77" s="88"/>
      <c r="U77" s="89"/>
      <c r="V77" s="21"/>
      <c r="AQ77" s="89"/>
    </row>
    <row r="78" spans="1:43" ht="13.15" customHeight="1" thickBot="1" x14ac:dyDescent="0.25">
      <c r="A78" s="19"/>
      <c r="B78" s="60"/>
      <c r="C78" s="583" t="s">
        <v>270</v>
      </c>
      <c r="D78" s="602"/>
      <c r="E78" s="602"/>
      <c r="F78" s="602"/>
      <c r="G78" s="602"/>
      <c r="H78" s="602"/>
      <c r="I78" s="602"/>
      <c r="J78" s="602"/>
      <c r="K78" s="602"/>
      <c r="L78" s="602"/>
      <c r="M78" s="602"/>
      <c r="N78" s="602"/>
      <c r="O78" s="602"/>
      <c r="P78" s="602"/>
      <c r="Q78" s="602"/>
      <c r="R78" s="602"/>
      <c r="S78" s="326"/>
      <c r="T78" s="143"/>
      <c r="U78" s="144"/>
      <c r="V78" s="21"/>
      <c r="X78" s="143"/>
      <c r="Y78" s="143"/>
      <c r="Z78" s="143"/>
      <c r="AA78" s="143"/>
      <c r="AB78" s="143"/>
      <c r="AC78" s="143"/>
      <c r="AD78" s="143"/>
      <c r="AE78" s="143"/>
      <c r="AF78" s="143"/>
      <c r="AG78" s="143"/>
      <c r="AH78" s="143"/>
      <c r="AI78" s="143"/>
      <c r="AJ78" s="143"/>
      <c r="AK78" s="143"/>
      <c r="AL78" s="143"/>
      <c r="AM78" s="143"/>
      <c r="AN78" s="143"/>
      <c r="AO78" s="143"/>
      <c r="AP78" s="143"/>
      <c r="AQ78" s="89"/>
    </row>
    <row r="79" spans="1:43" ht="13.15" customHeight="1" x14ac:dyDescent="0.2">
      <c r="A79" s="162" t="s">
        <v>209</v>
      </c>
      <c r="B79" s="464"/>
      <c r="C79" s="18" t="s">
        <v>208</v>
      </c>
      <c r="D79" s="16"/>
      <c r="E79" s="18" t="s">
        <v>207</v>
      </c>
      <c r="F79" s="18"/>
      <c r="G79" s="18" t="s">
        <v>206</v>
      </c>
      <c r="H79" s="17" t="e">
        <f>#REF!</f>
        <v>#REF!</v>
      </c>
      <c r="I79" s="16"/>
      <c r="J79" s="16"/>
      <c r="K79" s="16"/>
      <c r="L79" s="16"/>
      <c r="M79" s="16"/>
      <c r="N79" s="16"/>
      <c r="O79" s="16"/>
      <c r="P79" s="16"/>
      <c r="Q79" s="16"/>
      <c r="R79" s="16"/>
      <c r="S79" s="103"/>
      <c r="T79" s="103"/>
      <c r="U79" s="145"/>
      <c r="V79" s="162" t="s">
        <v>209</v>
      </c>
      <c r="W79" s="16"/>
      <c r="X79" s="163"/>
      <c r="Y79" s="18" t="s">
        <v>208</v>
      </c>
      <c r="Z79" s="16"/>
      <c r="AA79" s="18" t="s">
        <v>207</v>
      </c>
      <c r="AB79" s="18"/>
      <c r="AC79" s="18" t="s">
        <v>206</v>
      </c>
      <c r="AD79" s="17" t="e">
        <f>H79</f>
        <v>#REF!</v>
      </c>
      <c r="AE79" s="16"/>
      <c r="AF79" s="16"/>
      <c r="AG79" s="16"/>
      <c r="AH79" s="16"/>
      <c r="AI79" s="16"/>
      <c r="AJ79" s="16"/>
      <c r="AK79" s="16"/>
      <c r="AL79" s="16"/>
      <c r="AM79" s="16"/>
      <c r="AN79" s="103"/>
      <c r="AO79" s="103"/>
      <c r="AP79" s="103"/>
      <c r="AQ79" s="145"/>
    </row>
    <row r="80" spans="1:43" ht="13.15" customHeight="1" thickBot="1" x14ac:dyDescent="0.25">
      <c r="A80" s="159" t="e">
        <f>#REF!</f>
        <v>#REF!</v>
      </c>
      <c r="B80" s="175"/>
      <c r="C80" s="603" t="e">
        <f>#REF!</f>
        <v>#REF!</v>
      </c>
      <c r="D80" s="604"/>
      <c r="E80" s="605" t="e">
        <f>#REF!</f>
        <v>#REF!</v>
      </c>
      <c r="F80" s="606"/>
      <c r="G80" s="15"/>
      <c r="H80" s="14"/>
      <c r="I80" s="14"/>
      <c r="J80" s="14"/>
      <c r="K80" s="14"/>
      <c r="L80" s="14"/>
      <c r="M80" s="14"/>
      <c r="N80" s="14"/>
      <c r="O80" s="14"/>
      <c r="P80" s="14"/>
      <c r="Q80" s="14"/>
      <c r="R80" s="14"/>
      <c r="S80" s="143"/>
      <c r="T80" s="143"/>
      <c r="U80" s="144"/>
      <c r="V80" s="121"/>
      <c r="W80" s="175" t="e">
        <f>A80</f>
        <v>#REF!</v>
      </c>
      <c r="X80" s="164"/>
      <c r="Y80" s="603" t="e">
        <f>C80</f>
        <v>#REF!</v>
      </c>
      <c r="Z80" s="607"/>
      <c r="AA80" s="605" t="e">
        <f>E80</f>
        <v>#REF!</v>
      </c>
      <c r="AB80" s="608"/>
      <c r="AC80" s="15"/>
      <c r="AD80" s="14"/>
      <c r="AE80" s="14"/>
      <c r="AF80" s="14"/>
      <c r="AG80" s="14"/>
      <c r="AH80" s="14"/>
      <c r="AI80" s="14"/>
      <c r="AJ80" s="14"/>
      <c r="AK80" s="14"/>
      <c r="AL80" s="14"/>
      <c r="AM80" s="14"/>
      <c r="AN80" s="143"/>
      <c r="AO80" s="143"/>
      <c r="AP80" s="143"/>
      <c r="AQ80" s="144"/>
    </row>
  </sheetData>
  <mergeCells count="133">
    <mergeCell ref="AE55:AH56"/>
    <mergeCell ref="AI55:AI56"/>
    <mergeCell ref="AJ55:AJ56"/>
    <mergeCell ref="AK55:AL56"/>
    <mergeCell ref="AM55:AP56"/>
    <mergeCell ref="K59:N59"/>
    <mergeCell ref="Q59:R59"/>
    <mergeCell ref="X59:AD59"/>
    <mergeCell ref="K53:N53"/>
    <mergeCell ref="X58:AD58"/>
    <mergeCell ref="AE58:AH58"/>
    <mergeCell ref="AK58:AL58"/>
    <mergeCell ref="K55:N55"/>
    <mergeCell ref="X57:AD57"/>
    <mergeCell ref="AE57:AH57"/>
    <mergeCell ref="AK57:AL57"/>
    <mergeCell ref="S55:U55"/>
    <mergeCell ref="Q55:R55"/>
    <mergeCell ref="W55:W56"/>
    <mergeCell ref="X55:AD56"/>
    <mergeCell ref="X60:AD60"/>
    <mergeCell ref="X61:AD61"/>
    <mergeCell ref="E58:J58"/>
    <mergeCell ref="K58:N58"/>
    <mergeCell ref="Q58:R58"/>
    <mergeCell ref="C77:R77"/>
    <mergeCell ref="AE61:AH61"/>
    <mergeCell ref="AK61:AL61"/>
    <mergeCell ref="AE62:AH62"/>
    <mergeCell ref="AK62:AL62"/>
    <mergeCell ref="AE60:AH60"/>
    <mergeCell ref="AK60:AL60"/>
    <mergeCell ref="AE59:AH59"/>
    <mergeCell ref="AK59:AL59"/>
    <mergeCell ref="A70:R70"/>
    <mergeCell ref="E59:J59"/>
    <mergeCell ref="E60:J60"/>
    <mergeCell ref="K60:N60"/>
    <mergeCell ref="Q60:R60"/>
    <mergeCell ref="Y80:Z80"/>
    <mergeCell ref="AA80:AB80"/>
    <mergeCell ref="C71:R71"/>
    <mergeCell ref="C72:R72"/>
    <mergeCell ref="C73:R73"/>
    <mergeCell ref="C74:R74"/>
    <mergeCell ref="C75:R75"/>
    <mergeCell ref="C76:R76"/>
    <mergeCell ref="A64:R69"/>
    <mergeCell ref="C78:R78"/>
    <mergeCell ref="C80:D80"/>
    <mergeCell ref="E80:F80"/>
    <mergeCell ref="E51:J51"/>
    <mergeCell ref="K51:N51"/>
    <mergeCell ref="E53:J53"/>
    <mergeCell ref="E55:J55"/>
    <mergeCell ref="K33:N33"/>
    <mergeCell ref="Q29:R29"/>
    <mergeCell ref="E48:J48"/>
    <mergeCell ref="K48:N48"/>
    <mergeCell ref="Q48:R48"/>
    <mergeCell ref="Q34:R34"/>
    <mergeCell ref="E35:J35"/>
    <mergeCell ref="Q30:R30"/>
    <mergeCell ref="E33:J33"/>
    <mergeCell ref="E34:J34"/>
    <mergeCell ref="K34:N34"/>
    <mergeCell ref="E37:J37"/>
    <mergeCell ref="K37:N37"/>
    <mergeCell ref="Q37:R37"/>
    <mergeCell ref="Q45:R45"/>
    <mergeCell ref="Q42:R42"/>
    <mergeCell ref="Q39:R39"/>
    <mergeCell ref="E39:J39"/>
    <mergeCell ref="E42:J42"/>
    <mergeCell ref="E45:J45"/>
    <mergeCell ref="S39:U40"/>
    <mergeCell ref="AB7:AE7"/>
    <mergeCell ref="C17:D17"/>
    <mergeCell ref="E17:J18"/>
    <mergeCell ref="K17:N18"/>
    <mergeCell ref="O17:O18"/>
    <mergeCell ref="P17:P18"/>
    <mergeCell ref="Q17:R18"/>
    <mergeCell ref="S17:U18"/>
    <mergeCell ref="E30:J30"/>
    <mergeCell ref="K30:N30"/>
    <mergeCell ref="X39:AP39"/>
    <mergeCell ref="V19:V37"/>
    <mergeCell ref="X18:AP18"/>
    <mergeCell ref="Q33:R33"/>
    <mergeCell ref="C7:D7"/>
    <mergeCell ref="F7:I7"/>
    <mergeCell ref="Y7:Z7"/>
    <mergeCell ref="E19:J19"/>
    <mergeCell ref="K19:N19"/>
    <mergeCell ref="Q19:R19"/>
    <mergeCell ref="E20:J20"/>
    <mergeCell ref="K20:N20"/>
    <mergeCell ref="Q20:R20"/>
    <mergeCell ref="C11:N11"/>
    <mergeCell ref="J6:K6"/>
    <mergeCell ref="AF6:AG6"/>
    <mergeCell ref="Q25:R25"/>
    <mergeCell ref="K35:N35"/>
    <mergeCell ref="Q24:R24"/>
    <mergeCell ref="E24:J24"/>
    <mergeCell ref="E29:J29"/>
    <mergeCell ref="E21:J21"/>
    <mergeCell ref="E26:J26"/>
    <mergeCell ref="K26:N26"/>
    <mergeCell ref="Q26:R26"/>
    <mergeCell ref="K21:N21"/>
    <mergeCell ref="Q21:R21"/>
    <mergeCell ref="E22:J22"/>
    <mergeCell ref="K22:N22"/>
    <mergeCell ref="Q22:R22"/>
    <mergeCell ref="E25:J25"/>
    <mergeCell ref="K25:N25"/>
    <mergeCell ref="O10:U12"/>
    <mergeCell ref="O15:U16"/>
    <mergeCell ref="S29:S38"/>
    <mergeCell ref="K24:N24"/>
    <mergeCell ref="K29:N29"/>
    <mergeCell ref="K39:N39"/>
    <mergeCell ref="K42:N42"/>
    <mergeCell ref="K45:N45"/>
    <mergeCell ref="E36:J36"/>
    <mergeCell ref="K36:N36"/>
    <mergeCell ref="Q36:R36"/>
    <mergeCell ref="Q35:R35"/>
    <mergeCell ref="E38:J38"/>
    <mergeCell ref="K38:N38"/>
    <mergeCell ref="Q38:R38"/>
  </mergeCells>
  <phoneticPr fontId="5" type="noConversion"/>
  <pageMargins left="0.70866141732283472" right="0.15748031496062992" top="0.51181102362204722" bottom="0.43307086614173229" header="0.27559055118110237" footer="0.27559055118110237"/>
  <pageSetup paperSize="9" scale="75" pageOrder="overThenDown" orientation="portrait" r:id="rId1"/>
  <headerFooter alignWithMargins="0">
    <oddHeader>&amp;LPIRS Vorlagen-Projekt&amp;C&amp;8Project: Template&amp;R&amp;G</oddHeader>
    <oddFooter xml:space="preserve">&amp;L&amp;8 &amp;F _&amp;A&amp;R&amp;8Page &amp;P+8 of [&amp;N+8]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12B26-8412-43BE-94DA-BB075744C0AF}">
  <sheetPr codeName="Tabelle20"/>
  <dimension ref="A1:AQ80"/>
  <sheetViews>
    <sheetView showWhiteSpace="0" view="pageLayout" zoomScaleNormal="100" workbookViewId="0">
      <selection activeCell="N16" sqref="N16"/>
    </sheetView>
  </sheetViews>
  <sheetFormatPr defaultColWidth="0" defaultRowHeight="12.75" x14ac:dyDescent="0.2"/>
  <cols>
    <col min="1" max="1" width="14.28515625" style="13" customWidth="1"/>
    <col min="2" max="2" width="3.5703125" style="13" customWidth="1"/>
    <col min="3" max="21" width="5.7109375" style="13" customWidth="1"/>
    <col min="22" max="22" width="4.140625" style="13" customWidth="1"/>
    <col min="23" max="23" width="6.140625" style="13" customWidth="1"/>
    <col min="24" max="42" width="5.7109375" style="13" customWidth="1"/>
    <col min="43" max="59" width="6.140625" style="13" customWidth="1"/>
    <col min="60" max="16384" width="0" style="13" hidden="1"/>
  </cols>
  <sheetData>
    <row r="1" spans="1:43" ht="13.15" customHeight="1" x14ac:dyDescent="0.2">
      <c r="A1" s="73"/>
      <c r="B1" s="72"/>
      <c r="C1" s="72"/>
      <c r="D1" s="71"/>
      <c r="E1" s="16"/>
      <c r="F1" s="16"/>
      <c r="G1" s="16"/>
      <c r="H1" s="16"/>
      <c r="I1" s="16"/>
      <c r="J1" s="16"/>
      <c r="K1" s="114" t="s">
        <v>253</v>
      </c>
      <c r="L1" s="116"/>
      <c r="M1" s="70"/>
      <c r="N1" s="16"/>
      <c r="O1" s="16"/>
      <c r="P1" s="16" t="s">
        <v>718</v>
      </c>
      <c r="Q1" s="69"/>
      <c r="R1" s="68" t="s">
        <v>230</v>
      </c>
      <c r="S1" s="68"/>
      <c r="T1" s="67" t="s">
        <v>342</v>
      </c>
      <c r="U1" s="66"/>
      <c r="V1" s="162"/>
      <c r="W1" s="16"/>
      <c r="X1" s="72"/>
      <c r="Y1" s="72"/>
      <c r="Z1" s="71"/>
      <c r="AA1" s="16"/>
      <c r="AB1" s="16"/>
      <c r="AC1" s="16"/>
      <c r="AD1" s="16"/>
      <c r="AE1" s="16"/>
      <c r="AF1" s="231"/>
      <c r="AG1" s="230" t="s">
        <v>253</v>
      </c>
      <c r="AH1" s="70"/>
      <c r="AI1" s="16"/>
      <c r="AJ1" s="16"/>
      <c r="AK1" s="16"/>
      <c r="AL1" s="68" t="str">
        <f>P1</f>
        <v>PT05</v>
      </c>
      <c r="AM1" s="69"/>
      <c r="AN1" s="68" t="s">
        <v>230</v>
      </c>
      <c r="AO1" s="68"/>
      <c r="AP1" s="67" t="str">
        <f>T1</f>
        <v>4E0 (1.5415)</v>
      </c>
      <c r="AQ1" s="66"/>
    </row>
    <row r="2" spans="1:43" ht="13.15" customHeight="1" x14ac:dyDescent="0.2">
      <c r="A2" s="63" t="s">
        <v>276</v>
      </c>
      <c r="B2" s="61"/>
      <c r="C2" s="62" t="s">
        <v>290</v>
      </c>
      <c r="D2" s="61"/>
      <c r="E2" s="60"/>
      <c r="F2" s="60"/>
      <c r="G2" s="60"/>
      <c r="H2" s="60"/>
      <c r="I2" s="60"/>
      <c r="J2" s="59"/>
      <c r="K2" s="100" t="s">
        <v>232</v>
      </c>
      <c r="L2" s="74"/>
      <c r="M2" s="81"/>
      <c r="N2" s="65"/>
      <c r="O2" s="65"/>
      <c r="P2" s="523">
        <v>150</v>
      </c>
      <c r="Q2" s="58" t="s">
        <v>231</v>
      </c>
      <c r="R2" s="65" t="s">
        <v>252</v>
      </c>
      <c r="S2" s="65"/>
      <c r="T2" s="81" t="s">
        <v>336</v>
      </c>
      <c r="U2" s="64"/>
      <c r="V2" s="19" t="s">
        <v>276</v>
      </c>
      <c r="W2" s="60"/>
      <c r="X2" s="61"/>
      <c r="Y2" s="62" t="str">
        <f>C2</f>
        <v>Feedwater Discharge (T ≥ 100°C ÷ T ≤ 200°C)</v>
      </c>
      <c r="Z2" s="61"/>
      <c r="AA2" s="60"/>
      <c r="AB2" s="60"/>
      <c r="AC2" s="60"/>
      <c r="AD2" s="60"/>
      <c r="AE2" s="60"/>
      <c r="AF2" s="130"/>
      <c r="AG2" s="81" t="s">
        <v>232</v>
      </c>
      <c r="AH2" s="81"/>
      <c r="AI2" s="65"/>
      <c r="AJ2" s="65"/>
      <c r="AK2" s="65"/>
      <c r="AL2" s="523">
        <f>P2</f>
        <v>150</v>
      </c>
      <c r="AM2" s="58" t="s">
        <v>231</v>
      </c>
      <c r="AN2" s="65" t="s">
        <v>252</v>
      </c>
      <c r="AO2" s="65"/>
      <c r="AP2" s="81" t="str">
        <f>T2</f>
        <v>EN PN160</v>
      </c>
      <c r="AQ2" s="64"/>
    </row>
    <row r="3" spans="1:43" ht="13.15" customHeight="1" x14ac:dyDescent="0.2">
      <c r="A3" s="63"/>
      <c r="B3" s="61"/>
      <c r="C3" s="62"/>
      <c r="D3" s="61"/>
      <c r="E3" s="60"/>
      <c r="F3" s="60"/>
      <c r="G3" s="60"/>
      <c r="H3" s="60"/>
      <c r="I3" s="60"/>
      <c r="J3" s="59"/>
      <c r="K3" s="100" t="s">
        <v>233</v>
      </c>
      <c r="L3" s="75"/>
      <c r="M3" s="101"/>
      <c r="N3" s="65"/>
      <c r="O3" s="65"/>
      <c r="P3" s="523">
        <v>200</v>
      </c>
      <c r="Q3" s="58" t="s">
        <v>223</v>
      </c>
      <c r="R3" s="76" t="s">
        <v>229</v>
      </c>
      <c r="S3" s="77"/>
      <c r="T3" s="81" t="s">
        <v>227</v>
      </c>
      <c r="U3" s="57"/>
      <c r="V3" s="51"/>
      <c r="W3" s="80"/>
      <c r="X3" s="61"/>
      <c r="Y3" s="62"/>
      <c r="Z3" s="61"/>
      <c r="AA3" s="60"/>
      <c r="AB3" s="60"/>
      <c r="AC3" s="60"/>
      <c r="AD3" s="60"/>
      <c r="AE3" s="60"/>
      <c r="AF3" s="130"/>
      <c r="AG3" s="81" t="s">
        <v>233</v>
      </c>
      <c r="AH3" s="101"/>
      <c r="AI3" s="65"/>
      <c r="AJ3" s="65"/>
      <c r="AK3" s="65"/>
      <c r="AL3" s="523">
        <f>P3</f>
        <v>200</v>
      </c>
      <c r="AM3" s="58" t="s">
        <v>223</v>
      </c>
      <c r="AN3" s="76" t="s">
        <v>229</v>
      </c>
      <c r="AO3" s="77"/>
      <c r="AP3" s="81" t="str">
        <f>T3</f>
        <v>seamless</v>
      </c>
      <c r="AQ3" s="57"/>
    </row>
    <row r="4" spans="1:43" ht="13.15" customHeight="1" thickBot="1" x14ac:dyDescent="0.25">
      <c r="A4" s="56"/>
      <c r="B4" s="55"/>
      <c r="C4" s="55"/>
      <c r="D4" s="54"/>
      <c r="E4" s="53"/>
      <c r="F4" s="53"/>
      <c r="G4" s="53"/>
      <c r="H4" s="14"/>
      <c r="I4" s="14"/>
      <c r="J4" s="52"/>
      <c r="K4" s="60" t="s">
        <v>226</v>
      </c>
      <c r="L4" s="81"/>
      <c r="M4" s="102"/>
      <c r="N4" s="60"/>
      <c r="O4" s="60"/>
      <c r="P4" s="524">
        <v>232.8</v>
      </c>
      <c r="Q4" s="58" t="s">
        <v>235</v>
      </c>
      <c r="R4" s="82" t="s">
        <v>234</v>
      </c>
      <c r="S4" s="83"/>
      <c r="T4" s="113" t="s">
        <v>472</v>
      </c>
      <c r="U4" s="79"/>
      <c r="V4" s="119"/>
      <c r="W4" s="166"/>
      <c r="X4" s="55"/>
      <c r="Y4" s="55"/>
      <c r="Z4" s="54"/>
      <c r="AA4" s="53"/>
      <c r="AB4" s="53"/>
      <c r="AC4" s="53"/>
      <c r="AD4" s="14"/>
      <c r="AE4" s="14"/>
      <c r="AF4" s="232"/>
      <c r="AG4" s="60" t="s">
        <v>226</v>
      </c>
      <c r="AH4" s="102"/>
      <c r="AI4" s="60"/>
      <c r="AJ4" s="60"/>
      <c r="AK4" s="60"/>
      <c r="AL4" s="525">
        <f>P4</f>
        <v>232.8</v>
      </c>
      <c r="AM4" s="58" t="s">
        <v>235</v>
      </c>
      <c r="AN4" s="82" t="s">
        <v>234</v>
      </c>
      <c r="AO4" s="83"/>
      <c r="AP4" s="113" t="str">
        <f>T4</f>
        <v>EDJA</v>
      </c>
      <c r="AQ4" s="79"/>
    </row>
    <row r="5" spans="1:43" ht="13.15" customHeight="1" x14ac:dyDescent="0.2">
      <c r="A5" s="51" t="s">
        <v>225</v>
      </c>
      <c r="B5" s="80"/>
      <c r="C5" s="50" t="s">
        <v>224</v>
      </c>
      <c r="D5" s="49" t="s">
        <v>223</v>
      </c>
      <c r="E5" s="48"/>
      <c r="F5" s="47" t="s">
        <v>303</v>
      </c>
      <c r="G5" s="47">
        <v>100</v>
      </c>
      <c r="H5" s="47">
        <v>150</v>
      </c>
      <c r="I5" s="197">
        <v>200</v>
      </c>
      <c r="J5" s="224"/>
      <c r="K5" s="107"/>
      <c r="L5" s="196"/>
      <c r="M5" s="47"/>
      <c r="N5" s="47"/>
      <c r="O5" s="47"/>
      <c r="P5" s="47"/>
      <c r="Q5" s="47"/>
      <c r="R5" s="104"/>
      <c r="S5" s="107"/>
      <c r="T5" s="107"/>
      <c r="U5" s="105"/>
      <c r="V5" s="51" t="s">
        <v>225</v>
      </c>
      <c r="W5" s="80"/>
      <c r="X5" s="80"/>
      <c r="Y5" s="50" t="s">
        <v>224</v>
      </c>
      <c r="Z5" s="49" t="s">
        <v>223</v>
      </c>
      <c r="AA5" s="48"/>
      <c r="AB5" s="47" t="s">
        <v>303</v>
      </c>
      <c r="AC5" s="47">
        <v>100</v>
      </c>
      <c r="AD5" s="47">
        <v>150</v>
      </c>
      <c r="AE5" s="197">
        <v>200</v>
      </c>
      <c r="AF5" s="224"/>
      <c r="AG5" s="107"/>
      <c r="AH5" s="196"/>
      <c r="AI5" s="47"/>
      <c r="AJ5" s="47"/>
      <c r="AK5" s="47"/>
      <c r="AL5" s="47"/>
      <c r="AM5" s="47"/>
      <c r="AN5" s="104"/>
      <c r="AO5" s="107"/>
      <c r="AP5" s="107"/>
      <c r="AQ5" s="105"/>
    </row>
    <row r="6" spans="1:43" ht="20.25" customHeight="1" x14ac:dyDescent="0.2">
      <c r="A6" s="51"/>
      <c r="B6" s="80"/>
      <c r="C6" s="185" t="s">
        <v>285</v>
      </c>
      <c r="D6" s="186" t="s">
        <v>235</v>
      </c>
      <c r="E6" s="187" t="s">
        <v>502</v>
      </c>
      <c r="F6" s="218">
        <v>160</v>
      </c>
      <c r="G6" s="218">
        <v>160</v>
      </c>
      <c r="H6" s="243">
        <v>160</v>
      </c>
      <c r="I6" s="397" t="s">
        <v>700</v>
      </c>
      <c r="J6" s="852" t="s">
        <v>563</v>
      </c>
      <c r="K6" s="687"/>
      <c r="L6" s="199"/>
      <c r="M6" s="188"/>
      <c r="N6" s="188"/>
      <c r="O6" s="188"/>
      <c r="P6" s="188"/>
      <c r="Q6" s="188"/>
      <c r="R6" s="189"/>
      <c r="S6" s="190"/>
      <c r="T6" s="190"/>
      <c r="U6" s="191"/>
      <c r="V6" s="21"/>
      <c r="X6" s="80"/>
      <c r="Y6" s="185" t="s">
        <v>285</v>
      </c>
      <c r="Z6" s="186" t="s">
        <v>235</v>
      </c>
      <c r="AA6" s="187" t="s">
        <v>502</v>
      </c>
      <c r="AB6" s="218">
        <v>160</v>
      </c>
      <c r="AC6" s="218">
        <v>160</v>
      </c>
      <c r="AD6" s="243">
        <v>160</v>
      </c>
      <c r="AE6" s="397" t="s">
        <v>700</v>
      </c>
      <c r="AF6" s="852" t="s">
        <v>563</v>
      </c>
      <c r="AG6" s="687"/>
      <c r="AH6" s="199"/>
      <c r="AI6" s="188"/>
      <c r="AJ6" s="188"/>
      <c r="AK6" s="188"/>
      <c r="AL6" s="188"/>
      <c r="AM6" s="188"/>
      <c r="AN6" s="189"/>
      <c r="AO6" s="190"/>
      <c r="AP6" s="190"/>
      <c r="AQ6" s="191"/>
    </row>
    <row r="7" spans="1:43" ht="12.75" customHeight="1" thickBot="1" x14ac:dyDescent="0.25">
      <c r="A7" s="46"/>
      <c r="B7" s="120"/>
      <c r="C7" s="671" t="s">
        <v>284</v>
      </c>
      <c r="D7" s="672"/>
      <c r="E7" s="45"/>
      <c r="F7" s="836" t="s">
        <v>286</v>
      </c>
      <c r="G7" s="674"/>
      <c r="H7" s="674"/>
      <c r="I7" s="837"/>
      <c r="J7" s="257"/>
      <c r="K7" s="202"/>
      <c r="L7" s="201"/>
      <c r="M7" s="201"/>
      <c r="N7" s="201"/>
      <c r="O7" s="201"/>
      <c r="P7" s="201"/>
      <c r="Q7" s="201"/>
      <c r="R7" s="201"/>
      <c r="S7" s="202"/>
      <c r="T7" s="202"/>
      <c r="U7" s="106"/>
      <c r="V7" s="121"/>
      <c r="W7" s="143"/>
      <c r="X7" s="193"/>
      <c r="Y7" s="671" t="s">
        <v>284</v>
      </c>
      <c r="Z7" s="672"/>
      <c r="AA7" s="45"/>
      <c r="AB7" s="836" t="s">
        <v>286</v>
      </c>
      <c r="AC7" s="674"/>
      <c r="AD7" s="674"/>
      <c r="AE7" s="837"/>
      <c r="AF7" s="257"/>
      <c r="AG7" s="202"/>
      <c r="AH7" s="201"/>
      <c r="AI7" s="201"/>
      <c r="AJ7" s="201"/>
      <c r="AK7" s="201"/>
      <c r="AL7" s="201"/>
      <c r="AM7" s="201"/>
      <c r="AN7" s="201"/>
      <c r="AO7" s="202"/>
      <c r="AP7" s="202"/>
      <c r="AQ7" s="106"/>
    </row>
    <row r="8" spans="1:43" ht="13.15" customHeight="1" x14ac:dyDescent="0.2">
      <c r="A8" s="413" t="s">
        <v>633</v>
      </c>
      <c r="B8" s="158" t="s">
        <v>220</v>
      </c>
      <c r="C8" s="200">
        <v>15</v>
      </c>
      <c r="D8" s="38" t="s">
        <v>648</v>
      </c>
      <c r="E8" s="38">
        <v>25</v>
      </c>
      <c r="F8" s="38" t="s">
        <v>649</v>
      </c>
      <c r="G8" s="38">
        <v>40</v>
      </c>
      <c r="H8" s="38">
        <v>50</v>
      </c>
      <c r="I8" s="38" t="s">
        <v>299</v>
      </c>
      <c r="J8" s="38">
        <v>80</v>
      </c>
      <c r="K8" s="38">
        <v>100</v>
      </c>
      <c r="L8" s="38" t="s">
        <v>300</v>
      </c>
      <c r="M8" s="38">
        <v>150</v>
      </c>
      <c r="N8" s="38">
        <v>200</v>
      </c>
      <c r="O8" s="38">
        <v>250</v>
      </c>
      <c r="P8" s="38">
        <v>300</v>
      </c>
      <c r="Q8" s="38">
        <v>350</v>
      </c>
      <c r="R8" s="78">
        <v>400</v>
      </c>
      <c r="S8" s="38">
        <v>450</v>
      </c>
      <c r="T8" s="38">
        <v>500</v>
      </c>
      <c r="U8" s="37">
        <v>600</v>
      </c>
      <c r="V8" s="149"/>
      <c r="W8" s="167"/>
      <c r="X8" s="103"/>
      <c r="Y8" s="103"/>
      <c r="Z8" s="103"/>
      <c r="AA8" s="103"/>
      <c r="AB8" s="103"/>
      <c r="AC8" s="103"/>
      <c r="AD8" s="103"/>
      <c r="AE8" s="103"/>
      <c r="AF8" s="103"/>
      <c r="AG8" s="103"/>
      <c r="AH8" s="103"/>
      <c r="AI8" s="103"/>
      <c r="AJ8" s="103"/>
      <c r="AK8" s="103"/>
      <c r="AL8" s="103"/>
      <c r="AM8" s="103"/>
      <c r="AN8" s="103"/>
      <c r="AO8" s="103"/>
      <c r="AP8" s="103"/>
      <c r="AQ8" s="89"/>
    </row>
    <row r="9" spans="1:43" ht="13.15" customHeight="1" x14ac:dyDescent="0.2">
      <c r="A9" s="416" t="s">
        <v>634</v>
      </c>
      <c r="B9" s="293" t="s">
        <v>222</v>
      </c>
      <c r="C9" s="35">
        <v>21.3</v>
      </c>
      <c r="D9" s="42">
        <v>26.9</v>
      </c>
      <c r="E9" s="34">
        <v>33.700000000000003</v>
      </c>
      <c r="F9" s="34">
        <v>42.4</v>
      </c>
      <c r="G9" s="34">
        <v>48.3</v>
      </c>
      <c r="H9" s="34">
        <v>60.3</v>
      </c>
      <c r="I9" s="34">
        <v>76.099999999999994</v>
      </c>
      <c r="J9" s="34">
        <v>88.9</v>
      </c>
      <c r="K9" s="34">
        <v>114.3</v>
      </c>
      <c r="L9" s="34">
        <v>139.69999999999999</v>
      </c>
      <c r="M9" s="34">
        <v>168.3</v>
      </c>
      <c r="N9" s="34">
        <v>219.1</v>
      </c>
      <c r="O9" s="34">
        <v>273</v>
      </c>
      <c r="P9" s="34">
        <v>323.89999999999998</v>
      </c>
      <c r="Q9" s="34">
        <v>355.6</v>
      </c>
      <c r="R9" s="34">
        <v>406.4</v>
      </c>
      <c r="S9" s="34">
        <v>457</v>
      </c>
      <c r="T9" s="34">
        <v>508</v>
      </c>
      <c r="U9" s="41">
        <v>610</v>
      </c>
      <c r="V9" s="152"/>
      <c r="W9" s="161"/>
      <c r="AQ9" s="89"/>
    </row>
    <row r="10" spans="1:43" ht="13.15" customHeight="1" x14ac:dyDescent="0.2">
      <c r="A10" s="417" t="s">
        <v>635</v>
      </c>
      <c r="B10" s="294" t="s">
        <v>222</v>
      </c>
      <c r="C10" s="240">
        <v>2.6</v>
      </c>
      <c r="D10" s="33"/>
      <c r="E10" s="239">
        <v>3.2</v>
      </c>
      <c r="F10" s="239"/>
      <c r="G10" s="239">
        <v>3.6</v>
      </c>
      <c r="H10" s="239">
        <v>5.6</v>
      </c>
      <c r="I10" s="239">
        <v>5.6</v>
      </c>
      <c r="J10" s="239">
        <v>6.3</v>
      </c>
      <c r="K10" s="239">
        <v>8.8000000000000007</v>
      </c>
      <c r="L10" s="239">
        <v>10</v>
      </c>
      <c r="M10" s="239">
        <v>12.5</v>
      </c>
      <c r="N10" s="239">
        <v>14.2</v>
      </c>
      <c r="O10" s="239">
        <v>17.5</v>
      </c>
      <c r="P10" s="859" t="s">
        <v>268</v>
      </c>
      <c r="Q10" s="586"/>
      <c r="R10" s="586"/>
      <c r="S10" s="586"/>
      <c r="T10" s="586"/>
      <c r="U10" s="842"/>
      <c r="V10" s="152"/>
      <c r="W10" s="161"/>
      <c r="AQ10" s="89"/>
    </row>
    <row r="11" spans="1:43" ht="13.15" customHeight="1" x14ac:dyDescent="0.2">
      <c r="A11" s="84" t="s">
        <v>636</v>
      </c>
      <c r="B11" s="295" t="s">
        <v>236</v>
      </c>
      <c r="C11" s="736" t="s">
        <v>302</v>
      </c>
      <c r="D11" s="737"/>
      <c r="E11" s="737"/>
      <c r="F11" s="737"/>
      <c r="G11" s="737"/>
      <c r="H11" s="737"/>
      <c r="I11" s="737"/>
      <c r="J11" s="737"/>
      <c r="K11" s="737"/>
      <c r="L11" s="737"/>
      <c r="M11" s="737"/>
      <c r="N11" s="737"/>
      <c r="O11" s="737"/>
      <c r="P11" s="586"/>
      <c r="Q11" s="586"/>
      <c r="R11" s="586"/>
      <c r="S11" s="586"/>
      <c r="T11" s="586"/>
      <c r="U11" s="842"/>
      <c r="V11" s="152"/>
      <c r="W11" s="161"/>
      <c r="AQ11" s="89"/>
    </row>
    <row r="12" spans="1:43" ht="13.15" customHeight="1" thickBot="1" x14ac:dyDescent="0.25">
      <c r="A12" s="419" t="s">
        <v>637</v>
      </c>
      <c r="B12" s="296" t="s">
        <v>222</v>
      </c>
      <c r="C12" s="40">
        <f>C9-2*C10</f>
        <v>16.100000000000001</v>
      </c>
      <c r="D12" s="32"/>
      <c r="E12" s="39">
        <f>E9-2*E10</f>
        <v>27.300000000000004</v>
      </c>
      <c r="F12" s="39"/>
      <c r="G12" s="39">
        <f t="shared" ref="G12:O12" si="0">G9-2*G10</f>
        <v>41.099999999999994</v>
      </c>
      <c r="H12" s="39">
        <f>H9-2*H10</f>
        <v>49.099999999999994</v>
      </c>
      <c r="I12" s="39">
        <f>I9-2*I10</f>
        <v>64.899999999999991</v>
      </c>
      <c r="J12" s="39">
        <f t="shared" si="0"/>
        <v>76.300000000000011</v>
      </c>
      <c r="K12" s="39">
        <f t="shared" si="0"/>
        <v>96.699999999999989</v>
      </c>
      <c r="L12" s="39">
        <f t="shared" si="0"/>
        <v>119.69999999999999</v>
      </c>
      <c r="M12" s="39">
        <f t="shared" si="0"/>
        <v>143.30000000000001</v>
      </c>
      <c r="N12" s="39">
        <f t="shared" si="0"/>
        <v>190.7</v>
      </c>
      <c r="O12" s="39">
        <f t="shared" si="0"/>
        <v>238</v>
      </c>
      <c r="P12" s="844"/>
      <c r="Q12" s="844"/>
      <c r="R12" s="844"/>
      <c r="S12" s="844"/>
      <c r="T12" s="844"/>
      <c r="U12" s="845"/>
      <c r="V12" s="152"/>
      <c r="W12" s="161"/>
      <c r="AQ12" s="89"/>
    </row>
    <row r="13" spans="1:43" ht="13.15" customHeight="1" x14ac:dyDescent="0.2">
      <c r="A13" s="413" t="s">
        <v>638</v>
      </c>
      <c r="B13" s="158" t="s">
        <v>220</v>
      </c>
      <c r="C13" s="200">
        <v>15</v>
      </c>
      <c r="D13" s="38" t="s">
        <v>648</v>
      </c>
      <c r="E13" s="38">
        <v>25</v>
      </c>
      <c r="F13" s="38" t="s">
        <v>649</v>
      </c>
      <c r="G13" s="43">
        <v>40</v>
      </c>
      <c r="H13" s="43">
        <v>50</v>
      </c>
      <c r="I13" s="38" t="s">
        <v>299</v>
      </c>
      <c r="J13" s="43">
        <v>80</v>
      </c>
      <c r="K13" s="43">
        <v>100</v>
      </c>
      <c r="L13" s="43" t="s">
        <v>300</v>
      </c>
      <c r="M13" s="43">
        <v>150</v>
      </c>
      <c r="N13" s="43">
        <v>200</v>
      </c>
      <c r="O13" s="43">
        <v>250</v>
      </c>
      <c r="P13" s="43">
        <v>300</v>
      </c>
      <c r="Q13" s="43">
        <v>350</v>
      </c>
      <c r="R13" s="78">
        <v>400</v>
      </c>
      <c r="S13" s="38">
        <v>450</v>
      </c>
      <c r="T13" s="38">
        <v>500</v>
      </c>
      <c r="U13" s="37">
        <v>600</v>
      </c>
      <c r="V13" s="154"/>
      <c r="W13" s="171"/>
      <c r="AQ13" s="89"/>
    </row>
    <row r="14" spans="1:43" ht="13.15" customHeight="1" x14ac:dyDescent="0.2">
      <c r="A14" s="416" t="s">
        <v>639</v>
      </c>
      <c r="B14" s="297" t="s">
        <v>222</v>
      </c>
      <c r="C14" s="35">
        <v>21.3</v>
      </c>
      <c r="D14" s="34">
        <v>26.9</v>
      </c>
      <c r="E14" s="34">
        <v>33.700000000000003</v>
      </c>
      <c r="F14" s="34">
        <v>42.4</v>
      </c>
      <c r="G14" s="34">
        <v>48.3</v>
      </c>
      <c r="H14" s="34">
        <v>60.3</v>
      </c>
      <c r="I14" s="34">
        <v>76.099999999999994</v>
      </c>
      <c r="J14" s="34">
        <v>88.9</v>
      </c>
      <c r="K14" s="34">
        <v>114.3</v>
      </c>
      <c r="L14" s="34">
        <v>139.69999999999999</v>
      </c>
      <c r="M14" s="34">
        <v>168.3</v>
      </c>
      <c r="N14" s="34">
        <v>219.1</v>
      </c>
      <c r="O14" s="34">
        <v>273</v>
      </c>
      <c r="P14" s="34">
        <v>323.89999999999998</v>
      </c>
      <c r="Q14" s="34">
        <v>355.6</v>
      </c>
      <c r="R14" s="34">
        <v>406.4</v>
      </c>
      <c r="S14" s="34">
        <v>457</v>
      </c>
      <c r="T14" s="34">
        <v>508</v>
      </c>
      <c r="U14" s="41">
        <v>610</v>
      </c>
      <c r="V14" s="152"/>
      <c r="W14" s="161"/>
      <c r="AQ14" s="89"/>
    </row>
    <row r="15" spans="1:43" ht="13.15" customHeight="1" x14ac:dyDescent="0.2">
      <c r="A15" s="417" t="s">
        <v>640</v>
      </c>
      <c r="B15" s="294" t="s">
        <v>222</v>
      </c>
      <c r="C15" s="238">
        <v>2.6</v>
      </c>
      <c r="D15" s="33"/>
      <c r="E15" s="239">
        <v>3.2</v>
      </c>
      <c r="F15" s="239"/>
      <c r="G15" s="239">
        <v>3.6</v>
      </c>
      <c r="H15" s="239">
        <v>5.6</v>
      </c>
      <c r="I15" s="239">
        <v>5.6</v>
      </c>
      <c r="J15" s="239">
        <v>8</v>
      </c>
      <c r="K15" s="239">
        <v>8.8000000000000007</v>
      </c>
      <c r="L15" s="239">
        <v>10</v>
      </c>
      <c r="M15" s="239">
        <v>14.2</v>
      </c>
      <c r="N15" s="239">
        <v>16</v>
      </c>
      <c r="O15" s="239">
        <v>22.2</v>
      </c>
      <c r="P15" s="846" t="s">
        <v>268</v>
      </c>
      <c r="Q15" s="547"/>
      <c r="R15" s="547"/>
      <c r="S15" s="547"/>
      <c r="T15" s="547"/>
      <c r="U15" s="823"/>
      <c r="V15" s="152"/>
      <c r="W15" s="161"/>
      <c r="AQ15" s="89"/>
    </row>
    <row r="16" spans="1:43" ht="13.15" customHeight="1" thickBot="1" x14ac:dyDescent="0.25">
      <c r="A16" s="419" t="s">
        <v>641</v>
      </c>
      <c r="B16" s="296" t="s">
        <v>222</v>
      </c>
      <c r="C16" s="317">
        <v>3</v>
      </c>
      <c r="D16" s="317"/>
      <c r="E16" s="317">
        <v>3</v>
      </c>
      <c r="F16" s="317"/>
      <c r="G16" s="317">
        <v>3</v>
      </c>
      <c r="H16" s="317">
        <v>5</v>
      </c>
      <c r="I16" s="317" t="s">
        <v>461</v>
      </c>
      <c r="J16" s="317">
        <v>5</v>
      </c>
      <c r="K16" s="317">
        <v>5</v>
      </c>
      <c r="L16" s="317">
        <v>5</v>
      </c>
      <c r="M16" s="317">
        <v>5</v>
      </c>
      <c r="N16" s="317">
        <v>6</v>
      </c>
      <c r="O16" s="317">
        <v>7</v>
      </c>
      <c r="P16" s="847"/>
      <c r="Q16" s="848"/>
      <c r="R16" s="848"/>
      <c r="S16" s="848"/>
      <c r="T16" s="848"/>
      <c r="U16" s="849"/>
      <c r="V16" s="21"/>
      <c r="AO16"/>
      <c r="AQ16" s="89"/>
    </row>
    <row r="17" spans="1:43" ht="13.15" customHeight="1" x14ac:dyDescent="0.2">
      <c r="A17" s="31" t="s">
        <v>221</v>
      </c>
      <c r="B17" s="422"/>
      <c r="C17" s="631" t="s">
        <v>220</v>
      </c>
      <c r="D17" s="632"/>
      <c r="E17" s="633" t="s">
        <v>197</v>
      </c>
      <c r="F17" s="634"/>
      <c r="G17" s="634"/>
      <c r="H17" s="634"/>
      <c r="I17" s="634"/>
      <c r="J17" s="634"/>
      <c r="K17" s="635" t="s">
        <v>241</v>
      </c>
      <c r="L17" s="634"/>
      <c r="M17" s="634"/>
      <c r="N17" s="636"/>
      <c r="O17" s="656" t="s">
        <v>243</v>
      </c>
      <c r="P17" s="656" t="s">
        <v>242</v>
      </c>
      <c r="Q17" s="637" t="s">
        <v>244</v>
      </c>
      <c r="R17" s="638"/>
      <c r="S17" s="633" t="s">
        <v>245</v>
      </c>
      <c r="T17" s="639"/>
      <c r="U17" s="640"/>
      <c r="V17" s="21"/>
      <c r="AO17"/>
      <c r="AQ17" s="89"/>
    </row>
    <row r="18" spans="1:43" ht="13.15" customHeight="1" x14ac:dyDescent="0.2">
      <c r="A18" s="20"/>
      <c r="B18" s="424"/>
      <c r="C18" s="30" t="s">
        <v>219</v>
      </c>
      <c r="D18" s="30" t="s">
        <v>218</v>
      </c>
      <c r="E18" s="554"/>
      <c r="F18" s="555"/>
      <c r="G18" s="555"/>
      <c r="H18" s="555"/>
      <c r="I18" s="555"/>
      <c r="J18" s="555"/>
      <c r="K18" s="558"/>
      <c r="L18" s="555"/>
      <c r="M18" s="555"/>
      <c r="N18" s="556"/>
      <c r="O18" s="555"/>
      <c r="P18" s="555"/>
      <c r="Q18" s="555"/>
      <c r="R18" s="555"/>
      <c r="S18" s="641"/>
      <c r="T18" s="642"/>
      <c r="U18" s="643"/>
      <c r="V18" s="172"/>
      <c r="W18" s="160"/>
      <c r="X18" s="659" t="s">
        <v>288</v>
      </c>
      <c r="Y18" s="670"/>
      <c r="Z18" s="670"/>
      <c r="AA18" s="670"/>
      <c r="AB18" s="670"/>
      <c r="AC18" s="670"/>
      <c r="AD18" s="670"/>
      <c r="AE18" s="670"/>
      <c r="AF18" s="670"/>
      <c r="AG18" s="670"/>
      <c r="AH18" s="670"/>
      <c r="AI18" s="670"/>
      <c r="AJ18" s="670"/>
      <c r="AK18" s="670"/>
      <c r="AL18" s="670"/>
      <c r="AM18" s="670"/>
      <c r="AN18" s="670"/>
      <c r="AO18" s="660"/>
      <c r="AP18" s="660"/>
      <c r="AQ18" s="89"/>
    </row>
    <row r="19" spans="1:43" ht="13.15" customHeight="1" x14ac:dyDescent="0.2">
      <c r="A19" s="19" t="s">
        <v>217</v>
      </c>
      <c r="B19" s="60"/>
      <c r="C19" s="24">
        <v>15</v>
      </c>
      <c r="D19" s="24">
        <v>50</v>
      </c>
      <c r="E19" s="561" t="s">
        <v>497</v>
      </c>
      <c r="F19" s="562"/>
      <c r="G19" s="562"/>
      <c r="H19" s="562"/>
      <c r="I19" s="562"/>
      <c r="J19" s="563"/>
      <c r="K19" s="564" t="s">
        <v>537</v>
      </c>
      <c r="L19" s="855"/>
      <c r="M19" s="855"/>
      <c r="N19" s="856"/>
      <c r="O19" s="97" t="s">
        <v>236</v>
      </c>
      <c r="P19" s="97" t="s">
        <v>485</v>
      </c>
      <c r="Q19" s="651" t="s">
        <v>304</v>
      </c>
      <c r="R19" s="626"/>
      <c r="S19" s="93"/>
      <c r="U19" s="89"/>
      <c r="V19" s="657" t="s">
        <v>274</v>
      </c>
      <c r="W19" s="1">
        <v>15</v>
      </c>
      <c r="X19" s="139" t="s">
        <v>397</v>
      </c>
      <c r="Y19" s="137"/>
      <c r="Z19" s="137"/>
      <c r="AA19" s="137"/>
      <c r="AB19" s="137"/>
      <c r="AC19" s="137"/>
      <c r="AD19" s="137"/>
      <c r="AE19" s="137"/>
      <c r="AF19" s="137"/>
      <c r="AG19" s="137"/>
      <c r="AH19" s="137"/>
      <c r="AI19" s="137"/>
      <c r="AJ19" s="137"/>
      <c r="AK19" s="138"/>
      <c r="AL19" s="138"/>
      <c r="AQ19" s="89"/>
    </row>
    <row r="20" spans="1:43" ht="13.15" customHeight="1" x14ac:dyDescent="0.2">
      <c r="A20" s="19"/>
      <c r="B20" s="60"/>
      <c r="C20" s="24">
        <v>65</v>
      </c>
      <c r="D20" s="24">
        <v>250</v>
      </c>
      <c r="E20" s="583" t="s">
        <v>496</v>
      </c>
      <c r="F20" s="549"/>
      <c r="G20" s="549"/>
      <c r="H20" s="549"/>
      <c r="I20" s="549"/>
      <c r="J20" s="550"/>
      <c r="K20" s="584" t="s">
        <v>537</v>
      </c>
      <c r="L20" s="857"/>
      <c r="M20" s="857"/>
      <c r="N20" s="858"/>
      <c r="O20" s="98" t="s">
        <v>236</v>
      </c>
      <c r="P20" s="98" t="s">
        <v>484</v>
      </c>
      <c r="Q20" s="652" t="s">
        <v>304</v>
      </c>
      <c r="R20" s="586"/>
      <c r="S20" s="93"/>
      <c r="U20" s="89"/>
      <c r="V20" s="824"/>
      <c r="W20" s="227" t="s">
        <v>642</v>
      </c>
      <c r="X20" s="139"/>
      <c r="Y20" s="139"/>
      <c r="Z20" s="501"/>
      <c r="AA20" s="137"/>
      <c r="AB20" s="137"/>
      <c r="AC20" s="137"/>
      <c r="AD20" s="137"/>
      <c r="AE20" s="137"/>
      <c r="AF20" s="137"/>
      <c r="AG20" s="137"/>
      <c r="AH20" s="137"/>
      <c r="AI20" s="137"/>
      <c r="AJ20" s="137"/>
      <c r="AK20" s="137"/>
      <c r="AL20" s="137"/>
      <c r="AM20" s="138"/>
      <c r="AN20" s="138"/>
      <c r="AO20"/>
      <c r="AQ20" s="89"/>
    </row>
    <row r="21" spans="1:43" ht="13.15" customHeight="1" x14ac:dyDescent="0.2">
      <c r="A21" s="19"/>
      <c r="B21" s="60"/>
      <c r="C21" s="24"/>
      <c r="D21" s="24"/>
      <c r="E21" s="583"/>
      <c r="F21" s="549"/>
      <c r="G21" s="549"/>
      <c r="H21" s="549"/>
      <c r="I21" s="549"/>
      <c r="J21" s="550"/>
      <c r="K21" s="584"/>
      <c r="L21" s="549"/>
      <c r="M21" s="549"/>
      <c r="N21" s="550"/>
      <c r="O21" s="98"/>
      <c r="P21" s="98"/>
      <c r="Q21" s="652"/>
      <c r="R21" s="586"/>
      <c r="S21" s="88"/>
      <c r="U21" s="89"/>
      <c r="V21" s="824"/>
      <c r="W21" s="118">
        <v>25</v>
      </c>
      <c r="X21" s="139" t="s">
        <v>396</v>
      </c>
      <c r="Y21" s="139"/>
      <c r="Z21" s="139" t="s">
        <v>396</v>
      </c>
      <c r="AA21" s="137"/>
      <c r="AB21" s="137"/>
      <c r="AC21" s="137"/>
      <c r="AD21" s="137"/>
      <c r="AE21" s="137"/>
      <c r="AF21" s="137"/>
      <c r="AG21" s="137"/>
      <c r="AH21" s="137"/>
      <c r="AI21" s="137"/>
      <c r="AJ21" s="137"/>
      <c r="AK21" s="137"/>
      <c r="AL21" s="137"/>
      <c r="AM21" s="138"/>
      <c r="AN21" s="138"/>
      <c r="AO21"/>
      <c r="AQ21" s="89"/>
    </row>
    <row r="22" spans="1:43" ht="13.15" customHeight="1" x14ac:dyDescent="0.2">
      <c r="A22" s="19"/>
      <c r="B22" s="60"/>
      <c r="C22" s="24"/>
      <c r="D22" s="24"/>
      <c r="E22" s="583"/>
      <c r="F22" s="549"/>
      <c r="G22" s="549"/>
      <c r="H22" s="549"/>
      <c r="I22" s="549"/>
      <c r="J22" s="550"/>
      <c r="K22" s="584"/>
      <c r="L22" s="549"/>
      <c r="M22" s="549"/>
      <c r="N22" s="550"/>
      <c r="O22" s="98"/>
      <c r="P22" s="98"/>
      <c r="Q22" s="652"/>
      <c r="R22" s="586"/>
      <c r="S22" s="88"/>
      <c r="U22" s="89"/>
      <c r="V22" s="824"/>
      <c r="W22" s="227" t="s">
        <v>643</v>
      </c>
      <c r="X22" s="139"/>
      <c r="Y22" s="139"/>
      <c r="Z22" s="139"/>
      <c r="AA22" s="139"/>
      <c r="AB22" s="501"/>
      <c r="AC22" s="137"/>
      <c r="AD22" s="137"/>
      <c r="AE22" s="137"/>
      <c r="AF22" s="137"/>
      <c r="AG22" s="137"/>
      <c r="AH22" s="137"/>
      <c r="AI22" s="137"/>
      <c r="AJ22" s="137"/>
      <c r="AK22" s="137"/>
      <c r="AL22" s="137"/>
      <c r="AM22" s="137"/>
      <c r="AN22" s="138"/>
      <c r="AO22" s="138"/>
      <c r="AP22"/>
      <c r="AQ22" s="89"/>
    </row>
    <row r="23" spans="1:43" ht="13.15" customHeight="1" x14ac:dyDescent="0.2">
      <c r="A23" s="19"/>
      <c r="B23" s="60"/>
      <c r="C23" s="24"/>
      <c r="D23" s="24"/>
      <c r="E23" s="155"/>
      <c r="F23" s="160"/>
      <c r="G23" s="160"/>
      <c r="H23" s="160"/>
      <c r="I23" s="160"/>
      <c r="J23" s="181"/>
      <c r="K23" s="182"/>
      <c r="L23" s="160"/>
      <c r="M23" s="160"/>
      <c r="N23" s="181"/>
      <c r="O23" s="98"/>
      <c r="P23" s="98"/>
      <c r="Q23" s="183"/>
      <c r="R23" s="161"/>
      <c r="S23" s="88"/>
      <c r="U23" s="89"/>
      <c r="V23" s="824"/>
      <c r="W23" s="118">
        <v>40</v>
      </c>
      <c r="X23" s="139" t="s">
        <v>397</v>
      </c>
      <c r="Y23" s="139"/>
      <c r="Z23" s="139" t="s">
        <v>397</v>
      </c>
      <c r="AA23" s="139"/>
      <c r="AB23" s="139" t="s">
        <v>397</v>
      </c>
      <c r="AC23" s="137"/>
      <c r="AD23" s="137"/>
      <c r="AE23" s="137"/>
      <c r="AF23" s="137"/>
      <c r="AG23" s="137"/>
      <c r="AH23" s="137"/>
      <c r="AI23" s="137"/>
      <c r="AJ23" s="137"/>
      <c r="AK23" s="137"/>
      <c r="AL23" s="137"/>
      <c r="AM23" s="137"/>
      <c r="AN23" s="138"/>
      <c r="AO23" s="138"/>
      <c r="AP23"/>
      <c r="AQ23" s="89"/>
    </row>
    <row r="24" spans="1:43" ht="13.15" customHeight="1" x14ac:dyDescent="0.2">
      <c r="A24" s="26" t="s">
        <v>298</v>
      </c>
      <c r="B24" s="435"/>
      <c r="C24" s="29">
        <v>15</v>
      </c>
      <c r="D24" s="25">
        <v>50</v>
      </c>
      <c r="E24" s="653" t="s">
        <v>495</v>
      </c>
      <c r="F24" s="654"/>
      <c r="G24" s="654"/>
      <c r="H24" s="654"/>
      <c r="I24" s="654"/>
      <c r="J24" s="655"/>
      <c r="K24" s="699" t="s">
        <v>537</v>
      </c>
      <c r="L24" s="654"/>
      <c r="M24" s="654"/>
      <c r="N24" s="655"/>
      <c r="O24" s="249" t="s">
        <v>236</v>
      </c>
      <c r="P24" s="249" t="s">
        <v>485</v>
      </c>
      <c r="Q24" s="697" t="s">
        <v>304</v>
      </c>
      <c r="R24" s="701"/>
      <c r="S24" s="109"/>
      <c r="T24" s="91"/>
      <c r="U24" s="92"/>
      <c r="V24" s="824"/>
      <c r="W24" s="1">
        <v>50</v>
      </c>
      <c r="X24" s="139" t="s">
        <v>410</v>
      </c>
      <c r="Y24" s="139"/>
      <c r="Z24" s="139" t="s">
        <v>398</v>
      </c>
      <c r="AA24" s="139"/>
      <c r="AB24" s="139" t="s">
        <v>398</v>
      </c>
      <c r="AC24" s="139" t="s">
        <v>398</v>
      </c>
      <c r="AD24" s="137"/>
      <c r="AE24" s="137"/>
      <c r="AF24" s="137"/>
      <c r="AG24" s="137"/>
      <c r="AH24" s="137"/>
      <c r="AI24" s="137"/>
      <c r="AJ24" s="137"/>
      <c r="AK24" s="137"/>
      <c r="AL24" s="137"/>
      <c r="AM24" s="137"/>
      <c r="AN24" s="138"/>
      <c r="AO24" s="138"/>
      <c r="AP24"/>
      <c r="AQ24" s="89"/>
    </row>
    <row r="25" spans="1:43" ht="13.15" customHeight="1" x14ac:dyDescent="0.2">
      <c r="A25" s="19" t="s">
        <v>297</v>
      </c>
      <c r="B25" s="60"/>
      <c r="C25" s="235">
        <v>15</v>
      </c>
      <c r="D25" s="242">
        <v>15</v>
      </c>
      <c r="E25" s="644" t="s">
        <v>503</v>
      </c>
      <c r="F25" s="645"/>
      <c r="G25" s="645"/>
      <c r="H25" s="645"/>
      <c r="I25" s="645"/>
      <c r="J25" s="646"/>
      <c r="K25" s="700" t="s">
        <v>677</v>
      </c>
      <c r="L25" s="645"/>
      <c r="M25" s="645"/>
      <c r="N25" s="646"/>
      <c r="O25" s="98" t="s">
        <v>236</v>
      </c>
      <c r="P25" s="98" t="s">
        <v>246</v>
      </c>
      <c r="Q25" s="647" t="s">
        <v>306</v>
      </c>
      <c r="R25" s="723"/>
      <c r="S25" s="93"/>
      <c r="U25" s="89"/>
      <c r="V25" s="824"/>
      <c r="W25" s="227" t="s">
        <v>295</v>
      </c>
      <c r="X25" s="139" t="s">
        <v>389</v>
      </c>
      <c r="Y25" s="139"/>
      <c r="Z25" s="139" t="s">
        <v>397</v>
      </c>
      <c r="AA25" s="139"/>
      <c r="AB25" s="139" t="s">
        <v>397</v>
      </c>
      <c r="AC25" s="139" t="s">
        <v>398</v>
      </c>
      <c r="AD25" s="139" t="s">
        <v>397</v>
      </c>
      <c r="AE25" s="147"/>
      <c r="AF25" s="137"/>
      <c r="AG25" s="137"/>
      <c r="AH25" s="137"/>
      <c r="AI25" s="137"/>
      <c r="AJ25" s="137"/>
      <c r="AK25" s="137"/>
      <c r="AL25" s="137"/>
      <c r="AM25" s="137"/>
      <c r="AN25" s="137"/>
      <c r="AO25" s="138"/>
      <c r="AP25" s="138"/>
      <c r="AQ25" s="89"/>
    </row>
    <row r="26" spans="1:43" ht="13.15" customHeight="1" x14ac:dyDescent="0.2">
      <c r="A26" s="19"/>
      <c r="B26" s="60"/>
      <c r="C26" s="24">
        <v>25</v>
      </c>
      <c r="D26" s="23">
        <v>250</v>
      </c>
      <c r="E26" s="583" t="s">
        <v>503</v>
      </c>
      <c r="F26" s="549"/>
      <c r="G26" s="549"/>
      <c r="H26" s="549"/>
      <c r="I26" s="549"/>
      <c r="J26" s="550"/>
      <c r="K26" s="584" t="s">
        <v>677</v>
      </c>
      <c r="L26" s="549"/>
      <c r="M26" s="549"/>
      <c r="N26" s="550"/>
      <c r="O26" s="98" t="s">
        <v>236</v>
      </c>
      <c r="P26" s="98" t="s">
        <v>246</v>
      </c>
      <c r="Q26" s="585" t="s">
        <v>307</v>
      </c>
      <c r="R26" s="615"/>
      <c r="S26" s="88"/>
      <c r="U26" s="89"/>
      <c r="V26" s="824"/>
      <c r="W26" s="1">
        <v>80</v>
      </c>
      <c r="X26" s="139" t="s">
        <v>389</v>
      </c>
      <c r="Y26" s="139"/>
      <c r="Z26" s="139" t="s">
        <v>394</v>
      </c>
      <c r="AA26" s="139"/>
      <c r="AB26" s="139" t="s">
        <v>398</v>
      </c>
      <c r="AC26" s="139" t="s">
        <v>398</v>
      </c>
      <c r="AD26" s="139" t="s">
        <v>398</v>
      </c>
      <c r="AE26" s="139" t="s">
        <v>398</v>
      </c>
      <c r="AF26" s="137"/>
      <c r="AG26" s="137"/>
      <c r="AH26" s="137"/>
      <c r="AI26" s="137"/>
      <c r="AJ26" s="137"/>
      <c r="AK26" s="137"/>
      <c r="AL26" s="137"/>
      <c r="AM26" s="137"/>
      <c r="AN26" s="137"/>
      <c r="AO26" s="138"/>
      <c r="AP26" s="138"/>
      <c r="AQ26" s="89"/>
    </row>
    <row r="27" spans="1:43" ht="13.15" customHeight="1" x14ac:dyDescent="0.2">
      <c r="A27" s="19"/>
      <c r="B27" s="60"/>
      <c r="C27" s="24"/>
      <c r="D27" s="23"/>
      <c r="E27" s="155"/>
      <c r="F27" s="160"/>
      <c r="G27" s="160"/>
      <c r="H27" s="160"/>
      <c r="I27" s="160"/>
      <c r="J27" s="181"/>
      <c r="K27" s="182"/>
      <c r="L27" s="160"/>
      <c r="M27" s="160"/>
      <c r="N27" s="181"/>
      <c r="O27" s="98"/>
      <c r="P27" s="98"/>
      <c r="Q27" s="183"/>
      <c r="R27" s="161"/>
      <c r="S27" s="93"/>
      <c r="U27" s="89"/>
      <c r="V27" s="824"/>
      <c r="W27" s="1">
        <v>100</v>
      </c>
      <c r="X27" s="139" t="s">
        <v>389</v>
      </c>
      <c r="Y27" s="139"/>
      <c r="Z27" s="139" t="s">
        <v>394</v>
      </c>
      <c r="AA27" s="139"/>
      <c r="AB27" s="139" t="s">
        <v>398</v>
      </c>
      <c r="AC27" s="139" t="s">
        <v>398</v>
      </c>
      <c r="AD27" s="139" t="s">
        <v>398</v>
      </c>
      <c r="AE27" s="139" t="s">
        <v>398</v>
      </c>
      <c r="AF27" s="139" t="s">
        <v>398</v>
      </c>
      <c r="AG27" s="137"/>
      <c r="AH27" s="137"/>
      <c r="AI27" s="137"/>
      <c r="AJ27" s="137"/>
      <c r="AK27" s="137"/>
      <c r="AL27" s="137"/>
      <c r="AM27" s="137"/>
      <c r="AN27" s="137"/>
      <c r="AO27" s="138"/>
      <c r="AP27" s="138"/>
      <c r="AQ27" s="89"/>
    </row>
    <row r="28" spans="1:43" ht="13.15" customHeight="1" x14ac:dyDescent="0.2">
      <c r="A28" s="20"/>
      <c r="B28" s="424"/>
      <c r="C28" s="28"/>
      <c r="D28" s="27"/>
      <c r="E28" s="320"/>
      <c r="F28" s="124"/>
      <c r="G28" s="124"/>
      <c r="H28" s="124"/>
      <c r="I28" s="124"/>
      <c r="J28" s="354"/>
      <c r="K28" s="321"/>
      <c r="L28" s="124"/>
      <c r="M28" s="124"/>
      <c r="N28" s="354"/>
      <c r="O28" s="110"/>
      <c r="P28" s="110"/>
      <c r="Q28" s="80"/>
      <c r="R28" s="80"/>
      <c r="S28" s="94"/>
      <c r="T28" s="95"/>
      <c r="U28" s="96"/>
      <c r="V28" s="824"/>
      <c r="W28" s="227" t="s">
        <v>296</v>
      </c>
      <c r="X28" s="139" t="s">
        <v>389</v>
      </c>
      <c r="Y28" s="139"/>
      <c r="Z28" s="139" t="s">
        <v>394</v>
      </c>
      <c r="AA28" s="139"/>
      <c r="AB28" s="139" t="s">
        <v>427</v>
      </c>
      <c r="AC28" s="139" t="s">
        <v>398</v>
      </c>
      <c r="AD28" s="139" t="s">
        <v>398</v>
      </c>
      <c r="AE28" s="139" t="s">
        <v>398</v>
      </c>
      <c r="AF28" s="139" t="s">
        <v>398</v>
      </c>
      <c r="AG28" s="139" t="s">
        <v>398</v>
      </c>
      <c r="AH28" s="137"/>
      <c r="AI28" s="137"/>
      <c r="AJ28" s="137"/>
      <c r="AK28" s="137"/>
      <c r="AL28" s="137"/>
      <c r="AM28" s="137"/>
      <c r="AN28" s="137"/>
      <c r="AO28" s="138"/>
      <c r="AP28" s="138"/>
      <c r="AQ28" s="89"/>
    </row>
    <row r="29" spans="1:43" ht="13.15" customHeight="1" x14ac:dyDescent="0.2">
      <c r="A29" s="19" t="s">
        <v>249</v>
      </c>
      <c r="B29" s="60"/>
      <c r="C29" s="24">
        <v>15</v>
      </c>
      <c r="D29" s="24">
        <v>250</v>
      </c>
      <c r="E29" s="561" t="s">
        <v>271</v>
      </c>
      <c r="F29" s="562"/>
      <c r="G29" s="562"/>
      <c r="H29" s="562"/>
      <c r="I29" s="562"/>
      <c r="J29" s="563"/>
      <c r="K29" s="564" t="s">
        <v>677</v>
      </c>
      <c r="L29" s="562"/>
      <c r="M29" s="562"/>
      <c r="N29" s="563"/>
      <c r="O29" s="97"/>
      <c r="P29" s="97" t="s">
        <v>246</v>
      </c>
      <c r="Q29" s="565" t="s">
        <v>307</v>
      </c>
      <c r="R29" s="566"/>
      <c r="S29" s="694" t="s">
        <v>548</v>
      </c>
      <c r="T29" s="91"/>
      <c r="U29" s="92"/>
      <c r="V29" s="824"/>
      <c r="W29" s="1">
        <v>150</v>
      </c>
      <c r="X29" s="139" t="s">
        <v>389</v>
      </c>
      <c r="Y29" s="139"/>
      <c r="Z29" s="139" t="s">
        <v>394</v>
      </c>
      <c r="AA29" s="139"/>
      <c r="AB29" s="139" t="s">
        <v>427</v>
      </c>
      <c r="AC29" s="142" t="s">
        <v>546</v>
      </c>
      <c r="AD29" s="139" t="s">
        <v>398</v>
      </c>
      <c r="AE29" s="139" t="s">
        <v>398</v>
      </c>
      <c r="AF29" s="139" t="s">
        <v>398</v>
      </c>
      <c r="AG29" s="139" t="s">
        <v>398</v>
      </c>
      <c r="AH29" s="139" t="s">
        <v>398</v>
      </c>
      <c r="AI29" s="137"/>
      <c r="AJ29" s="137"/>
      <c r="AK29" s="137"/>
      <c r="AL29" s="137"/>
      <c r="AM29" s="137"/>
      <c r="AN29" s="137"/>
      <c r="AO29" s="138"/>
      <c r="AP29" s="138"/>
      <c r="AQ29" s="89"/>
    </row>
    <row r="30" spans="1:43" ht="13.15" customHeight="1" x14ac:dyDescent="0.2">
      <c r="A30" s="19" t="s">
        <v>250</v>
      </c>
      <c r="B30" s="60"/>
      <c r="C30" s="210" t="s">
        <v>236</v>
      </c>
      <c r="D30" s="210" t="s">
        <v>236</v>
      </c>
      <c r="E30" s="583" t="s">
        <v>325</v>
      </c>
      <c r="F30" s="549"/>
      <c r="G30" s="549"/>
      <c r="H30" s="549"/>
      <c r="I30" s="549"/>
      <c r="J30" s="550"/>
      <c r="K30" s="584" t="s">
        <v>537</v>
      </c>
      <c r="L30" s="549"/>
      <c r="M30" s="549"/>
      <c r="N30" s="550"/>
      <c r="O30" s="98" t="s">
        <v>236</v>
      </c>
      <c r="P30" s="98" t="s">
        <v>246</v>
      </c>
      <c r="Q30" s="585" t="s">
        <v>347</v>
      </c>
      <c r="R30" s="615"/>
      <c r="S30" s="833"/>
      <c r="U30" s="89"/>
      <c r="V30" s="824"/>
      <c r="W30" s="1">
        <v>200</v>
      </c>
      <c r="X30" s="139" t="s">
        <v>401</v>
      </c>
      <c r="Y30" s="139"/>
      <c r="Z30" s="139" t="s">
        <v>420</v>
      </c>
      <c r="AA30" s="139"/>
      <c r="AB30" s="139" t="s">
        <v>404</v>
      </c>
      <c r="AC30" s="142" t="s">
        <v>628</v>
      </c>
      <c r="AD30" s="142" t="s">
        <v>628</v>
      </c>
      <c r="AE30" s="507" t="s">
        <v>399</v>
      </c>
      <c r="AF30" s="139" t="s">
        <v>399</v>
      </c>
      <c r="AG30" s="139" t="s">
        <v>399</v>
      </c>
      <c r="AH30" s="139" t="s">
        <v>399</v>
      </c>
      <c r="AI30" s="139" t="s">
        <v>399</v>
      </c>
      <c r="AJ30" s="137"/>
      <c r="AK30" s="137"/>
      <c r="AL30" s="137"/>
      <c r="AM30" s="137"/>
      <c r="AN30" s="137"/>
      <c r="AO30" s="138"/>
      <c r="AP30" s="138"/>
      <c r="AQ30" s="89"/>
    </row>
    <row r="31" spans="1:43" ht="13.15" customHeight="1" x14ac:dyDescent="0.2">
      <c r="A31" s="19"/>
      <c r="B31" s="60"/>
      <c r="C31" s="210"/>
      <c r="D31" s="210"/>
      <c r="E31" s="155"/>
      <c r="F31" s="160"/>
      <c r="G31" s="160"/>
      <c r="H31" s="160"/>
      <c r="I31" s="160"/>
      <c r="J31" s="181"/>
      <c r="K31" s="182"/>
      <c r="L31" s="160"/>
      <c r="M31" s="160"/>
      <c r="N31" s="181"/>
      <c r="O31" s="98"/>
      <c r="P31" s="98"/>
      <c r="Q31" s="347"/>
      <c r="R31" s="348"/>
      <c r="S31" s="833"/>
      <c r="U31" s="89"/>
      <c r="V31" s="824"/>
      <c r="W31" s="1">
        <v>250</v>
      </c>
      <c r="X31" s="139" t="s">
        <v>401</v>
      </c>
      <c r="Y31" s="139"/>
      <c r="Z31" s="139" t="s">
        <v>420</v>
      </c>
      <c r="AA31" s="139"/>
      <c r="AB31" s="139" t="s">
        <v>701</v>
      </c>
      <c r="AC31" s="142" t="s">
        <v>682</v>
      </c>
      <c r="AD31" s="142" t="s">
        <v>682</v>
      </c>
      <c r="AE31" s="142" t="s">
        <v>682</v>
      </c>
      <c r="AF31" s="507" t="s">
        <v>400</v>
      </c>
      <c r="AG31" s="507" t="s">
        <v>400</v>
      </c>
      <c r="AH31" s="507" t="s">
        <v>400</v>
      </c>
      <c r="AI31" s="507" t="s">
        <v>400</v>
      </c>
      <c r="AJ31" s="507" t="s">
        <v>400</v>
      </c>
      <c r="AK31" s="137"/>
      <c r="AL31" s="137"/>
      <c r="AM31" s="137"/>
      <c r="AN31" s="137"/>
      <c r="AO31" s="138"/>
      <c r="AP31" s="138"/>
      <c r="AQ31" s="89"/>
    </row>
    <row r="32" spans="1:43" ht="13.15" customHeight="1" x14ac:dyDescent="0.2">
      <c r="A32" s="19"/>
      <c r="B32" s="60"/>
      <c r="C32" s="210"/>
      <c r="D32" s="210"/>
      <c r="E32" s="155"/>
      <c r="F32" s="160"/>
      <c r="G32" s="160"/>
      <c r="H32" s="160"/>
      <c r="I32" s="160"/>
      <c r="J32" s="181"/>
      <c r="K32" s="182"/>
      <c r="L32" s="160"/>
      <c r="M32" s="160"/>
      <c r="N32" s="181"/>
      <c r="O32" s="98"/>
      <c r="P32" s="98"/>
      <c r="Q32" s="347"/>
      <c r="R32" s="348"/>
      <c r="S32" s="833"/>
      <c r="U32" s="89"/>
      <c r="V32" s="824"/>
      <c r="W32" s="1">
        <v>300</v>
      </c>
      <c r="X32" s="139"/>
      <c r="Y32" s="139"/>
      <c r="Z32" s="139"/>
      <c r="AA32" s="139"/>
      <c r="AB32" s="139"/>
      <c r="AC32" s="139"/>
      <c r="AD32" s="139"/>
      <c r="AE32" s="261"/>
      <c r="AF32" s="139"/>
      <c r="AG32" s="139"/>
      <c r="AH32" s="139"/>
      <c r="AI32" s="139"/>
      <c r="AJ32" s="139"/>
      <c r="AK32" s="139"/>
      <c r="AL32" s="137"/>
      <c r="AM32" s="137"/>
      <c r="AN32" s="137"/>
      <c r="AO32" s="138"/>
      <c r="AP32" s="138"/>
      <c r="AQ32" s="89"/>
    </row>
    <row r="33" spans="1:43" ht="13.15" customHeight="1" x14ac:dyDescent="0.2">
      <c r="A33" s="19" t="s">
        <v>256</v>
      </c>
      <c r="B33" s="60"/>
      <c r="C33" s="24">
        <v>100</v>
      </c>
      <c r="D33" s="24">
        <v>150</v>
      </c>
      <c r="E33" s="583" t="s">
        <v>526</v>
      </c>
      <c r="F33" s="549"/>
      <c r="G33" s="549"/>
      <c r="H33" s="549"/>
      <c r="I33" s="549"/>
      <c r="J33" s="550"/>
      <c r="K33" s="584" t="s">
        <v>351</v>
      </c>
      <c r="L33" s="549"/>
      <c r="M33" s="549"/>
      <c r="N33" s="550"/>
      <c r="O33" s="98" t="s">
        <v>236</v>
      </c>
      <c r="P33" s="98" t="s">
        <v>328</v>
      </c>
      <c r="Q33" s="585" t="s">
        <v>332</v>
      </c>
      <c r="R33" s="615"/>
      <c r="S33" s="833"/>
      <c r="T33" s="60" t="s">
        <v>524</v>
      </c>
      <c r="U33" s="89"/>
      <c r="V33" s="824"/>
      <c r="W33" s="1">
        <v>350</v>
      </c>
      <c r="X33" s="139"/>
      <c r="Y33" s="139"/>
      <c r="Z33" s="139"/>
      <c r="AA33" s="139"/>
      <c r="AB33" s="139"/>
      <c r="AC33" s="139"/>
      <c r="AD33" s="139"/>
      <c r="AE33" s="261"/>
      <c r="AF33" s="139"/>
      <c r="AG33" s="139"/>
      <c r="AH33" s="139"/>
      <c r="AI33" s="139"/>
      <c r="AJ33" s="139"/>
      <c r="AK33" s="139"/>
      <c r="AL33" s="139"/>
      <c r="AM33" s="137"/>
      <c r="AN33" s="137"/>
      <c r="AO33" s="138"/>
      <c r="AP33" s="138"/>
      <c r="AQ33" s="89"/>
    </row>
    <row r="34" spans="1:43" ht="13.15" customHeight="1" x14ac:dyDescent="0.2">
      <c r="A34" s="19"/>
      <c r="B34" s="60"/>
      <c r="C34" s="24">
        <v>200</v>
      </c>
      <c r="D34" s="24">
        <v>250</v>
      </c>
      <c r="E34" s="583" t="s">
        <v>527</v>
      </c>
      <c r="F34" s="549"/>
      <c r="G34" s="549"/>
      <c r="H34" s="549"/>
      <c r="I34" s="549"/>
      <c r="J34" s="550"/>
      <c r="K34" s="584" t="s">
        <v>351</v>
      </c>
      <c r="L34" s="549"/>
      <c r="M34" s="549"/>
      <c r="N34" s="550"/>
      <c r="O34" s="165" t="s">
        <v>236</v>
      </c>
      <c r="P34" s="98" t="s">
        <v>328</v>
      </c>
      <c r="Q34" s="585" t="s">
        <v>332</v>
      </c>
      <c r="R34" s="615"/>
      <c r="S34" s="833"/>
      <c r="T34" s="60" t="s">
        <v>525</v>
      </c>
      <c r="U34" s="89"/>
      <c r="V34" s="824"/>
      <c r="W34" s="1">
        <v>400</v>
      </c>
      <c r="X34" s="139"/>
      <c r="Y34" s="139"/>
      <c r="Z34" s="139"/>
      <c r="AA34" s="139"/>
      <c r="AB34" s="139"/>
      <c r="AC34" s="139"/>
      <c r="AD34" s="139"/>
      <c r="AE34" s="261"/>
      <c r="AF34" s="139"/>
      <c r="AG34" s="139"/>
      <c r="AH34" s="141"/>
      <c r="AI34" s="141"/>
      <c r="AJ34" s="141"/>
      <c r="AK34" s="141"/>
      <c r="AL34" s="141"/>
      <c r="AM34" s="141"/>
      <c r="AN34" s="137"/>
      <c r="AO34" s="138"/>
      <c r="AP34" s="138"/>
      <c r="AQ34" s="89"/>
    </row>
    <row r="35" spans="1:43" ht="13.15" customHeight="1" x14ac:dyDescent="0.2">
      <c r="A35" s="19"/>
      <c r="B35" s="60"/>
      <c r="C35" s="24"/>
      <c r="D35" s="24"/>
      <c r="E35" s="583" t="s">
        <v>530</v>
      </c>
      <c r="F35" s="549"/>
      <c r="G35" s="549"/>
      <c r="H35" s="549"/>
      <c r="I35" s="549"/>
      <c r="J35" s="550"/>
      <c r="K35" s="584">
        <v>1.5415000000000001</v>
      </c>
      <c r="L35" s="549"/>
      <c r="M35" s="549"/>
      <c r="N35" s="550"/>
      <c r="O35" s="165" t="s">
        <v>236</v>
      </c>
      <c r="P35" s="98" t="s">
        <v>257</v>
      </c>
      <c r="Q35" s="585" t="s">
        <v>721</v>
      </c>
      <c r="R35" s="615"/>
      <c r="S35" s="833"/>
      <c r="U35" s="89"/>
      <c r="V35" s="824"/>
      <c r="W35" s="1">
        <v>450</v>
      </c>
      <c r="X35" s="141"/>
      <c r="Y35" s="142"/>
      <c r="Z35" s="142"/>
      <c r="AA35" s="140"/>
      <c r="AB35" s="140"/>
      <c r="AC35" s="140"/>
      <c r="AD35" s="140"/>
      <c r="AE35" s="140"/>
      <c r="AF35" s="140"/>
      <c r="AG35" s="140"/>
      <c r="AH35" s="140"/>
      <c r="AI35" s="140"/>
      <c r="AJ35" s="141"/>
      <c r="AK35" s="140"/>
      <c r="AL35" s="141"/>
      <c r="AM35" s="141"/>
      <c r="AN35" s="141"/>
      <c r="AO35" s="138"/>
      <c r="AP35" s="138"/>
      <c r="AQ35" s="89"/>
    </row>
    <row r="36" spans="1:43" ht="13.15" customHeight="1" x14ac:dyDescent="0.2">
      <c r="A36" s="19"/>
      <c r="B36" s="60"/>
      <c r="C36" s="24"/>
      <c r="D36" s="24"/>
      <c r="E36" s="583" t="s">
        <v>327</v>
      </c>
      <c r="F36" s="549"/>
      <c r="G36" s="549"/>
      <c r="H36" s="549"/>
      <c r="I36" s="549"/>
      <c r="J36" s="550"/>
      <c r="K36" s="584" t="s">
        <v>330</v>
      </c>
      <c r="L36" s="549"/>
      <c r="M36" s="549"/>
      <c r="N36" s="550"/>
      <c r="O36" s="98" t="s">
        <v>236</v>
      </c>
      <c r="P36" s="98" t="s">
        <v>257</v>
      </c>
      <c r="Q36" s="585" t="s">
        <v>329</v>
      </c>
      <c r="R36" s="615"/>
      <c r="S36" s="833"/>
      <c r="U36" s="89"/>
      <c r="V36" s="658"/>
      <c r="W36" s="1">
        <v>500</v>
      </c>
      <c r="X36" s="136"/>
      <c r="Y36" s="142"/>
      <c r="Z36" s="142"/>
      <c r="AA36" s="136"/>
      <c r="AB36" s="136"/>
      <c r="AC36" s="136"/>
      <c r="AD36" s="136"/>
      <c r="AE36" s="136"/>
      <c r="AF36" s="136"/>
      <c r="AG36" s="136"/>
      <c r="AH36" s="136"/>
      <c r="AI36" s="136"/>
      <c r="AJ36" s="139"/>
      <c r="AK36" s="136"/>
      <c r="AL36" s="136"/>
      <c r="AM36" s="136"/>
      <c r="AN36" s="136"/>
      <c r="AO36" s="136"/>
      <c r="AP36" s="138"/>
      <c r="AQ36" s="89"/>
    </row>
    <row r="37" spans="1:43" ht="13.15" customHeight="1" x14ac:dyDescent="0.2">
      <c r="A37" s="19" t="s">
        <v>258</v>
      </c>
      <c r="B37" s="60"/>
      <c r="C37" s="24">
        <v>15</v>
      </c>
      <c r="D37" s="24">
        <v>40</v>
      </c>
      <c r="E37" s="583" t="s">
        <v>271</v>
      </c>
      <c r="F37" s="549"/>
      <c r="G37" s="549"/>
      <c r="H37" s="549"/>
      <c r="I37" s="549"/>
      <c r="J37" s="550"/>
      <c r="K37" s="584" t="s">
        <v>677</v>
      </c>
      <c r="L37" s="549"/>
      <c r="M37" s="549"/>
      <c r="N37" s="550"/>
      <c r="O37" s="98" t="s">
        <v>236</v>
      </c>
      <c r="P37" s="98" t="s">
        <v>246</v>
      </c>
      <c r="Q37" s="585" t="s">
        <v>307</v>
      </c>
      <c r="R37" s="615"/>
      <c r="S37" s="833"/>
      <c r="U37" s="89"/>
      <c r="V37" s="658"/>
      <c r="W37" s="1">
        <v>600</v>
      </c>
      <c r="X37" s="136"/>
      <c r="Y37" s="142"/>
      <c r="Z37" s="142"/>
      <c r="AA37" s="136"/>
      <c r="AB37" s="136"/>
      <c r="AC37" s="136"/>
      <c r="AD37" s="136"/>
      <c r="AE37" s="136"/>
      <c r="AF37" s="136"/>
      <c r="AG37" s="136"/>
      <c r="AH37" s="136"/>
      <c r="AI37" s="136"/>
      <c r="AJ37" s="136"/>
      <c r="AK37" s="136"/>
      <c r="AL37" s="136"/>
      <c r="AM37" s="136"/>
      <c r="AN37" s="136"/>
      <c r="AO37" s="136"/>
      <c r="AP37" s="136"/>
      <c r="AQ37" s="89"/>
    </row>
    <row r="38" spans="1:43" ht="13.15" customHeight="1" x14ac:dyDescent="0.2">
      <c r="A38" s="19"/>
      <c r="B38" s="60"/>
      <c r="C38" s="24">
        <v>50</v>
      </c>
      <c r="D38" s="24">
        <v>250</v>
      </c>
      <c r="E38" s="713" t="s">
        <v>378</v>
      </c>
      <c r="F38" s="714"/>
      <c r="G38" s="714"/>
      <c r="H38" s="714"/>
      <c r="I38" s="714"/>
      <c r="J38" s="715"/>
      <c r="K38" s="720" t="s">
        <v>351</v>
      </c>
      <c r="L38" s="714"/>
      <c r="M38" s="714"/>
      <c r="N38" s="715"/>
      <c r="O38" s="98" t="s">
        <v>236</v>
      </c>
      <c r="P38" s="98" t="s">
        <v>328</v>
      </c>
      <c r="Q38" s="718" t="s">
        <v>332</v>
      </c>
      <c r="R38" s="807"/>
      <c r="S38" s="834"/>
      <c r="T38" s="95"/>
      <c r="U38" s="96"/>
      <c r="V38" s="21"/>
      <c r="W38"/>
      <c r="X38">
        <v>15</v>
      </c>
      <c r="Y38" s="228" t="s">
        <v>642</v>
      </c>
      <c r="Z38" s="483">
        <v>25</v>
      </c>
      <c r="AA38" s="484" t="s">
        <v>643</v>
      </c>
      <c r="AB38">
        <v>40</v>
      </c>
      <c r="AC38">
        <v>50</v>
      </c>
      <c r="AD38" s="228" t="s">
        <v>295</v>
      </c>
      <c r="AE38">
        <v>80</v>
      </c>
      <c r="AF38">
        <v>100</v>
      </c>
      <c r="AG38" s="228" t="s">
        <v>296</v>
      </c>
      <c r="AH38">
        <v>150</v>
      </c>
      <c r="AI38">
        <v>200</v>
      </c>
      <c r="AJ38">
        <v>250</v>
      </c>
      <c r="AK38">
        <v>300</v>
      </c>
      <c r="AL38" s="2">
        <v>350</v>
      </c>
      <c r="AM38" s="2">
        <v>400</v>
      </c>
      <c r="AN38" s="2">
        <v>450</v>
      </c>
      <c r="AO38" s="2">
        <v>500</v>
      </c>
      <c r="AP38" s="2">
        <v>600</v>
      </c>
      <c r="AQ38" s="89"/>
    </row>
    <row r="39" spans="1:43" ht="13.15" customHeight="1" x14ac:dyDescent="0.2">
      <c r="A39" s="26" t="s">
        <v>216</v>
      </c>
      <c r="B39" s="454"/>
      <c r="C39" s="29">
        <v>25</v>
      </c>
      <c r="D39" s="25">
        <v>250</v>
      </c>
      <c r="E39" s="561" t="s">
        <v>384</v>
      </c>
      <c r="F39" s="562"/>
      <c r="G39" s="562"/>
      <c r="H39" s="562"/>
      <c r="I39" s="562"/>
      <c r="J39" s="563"/>
      <c r="K39" s="564" t="s">
        <v>677</v>
      </c>
      <c r="L39" s="562"/>
      <c r="M39" s="562"/>
      <c r="N39" s="563"/>
      <c r="O39" s="97" t="s">
        <v>236</v>
      </c>
      <c r="P39" s="97" t="s">
        <v>246</v>
      </c>
      <c r="Q39" s="565" t="s">
        <v>307</v>
      </c>
      <c r="R39" s="566"/>
      <c r="S39" s="827" t="s">
        <v>357</v>
      </c>
      <c r="T39" s="828"/>
      <c r="U39" s="829"/>
      <c r="V39" s="21"/>
      <c r="X39" s="659" t="s">
        <v>275</v>
      </c>
      <c r="Y39" s="660"/>
      <c r="Z39" s="660"/>
      <c r="AA39" s="660"/>
      <c r="AB39" s="660"/>
      <c r="AC39" s="660"/>
      <c r="AD39" s="660"/>
      <c r="AE39" s="660"/>
      <c r="AF39" s="660"/>
      <c r="AG39" s="660"/>
      <c r="AH39" s="660"/>
      <c r="AI39" s="660"/>
      <c r="AJ39" s="660"/>
      <c r="AK39" s="660"/>
      <c r="AL39" s="660"/>
      <c r="AM39" s="660"/>
      <c r="AN39" s="660"/>
      <c r="AO39" s="660"/>
      <c r="AP39" s="660"/>
      <c r="AQ39" s="89"/>
    </row>
    <row r="40" spans="1:43" ht="13.15" customHeight="1" x14ac:dyDescent="0.2">
      <c r="A40" s="19"/>
      <c r="B40" s="60"/>
      <c r="C40" s="24"/>
      <c r="D40" s="23"/>
      <c r="E40" s="155"/>
      <c r="F40" s="160"/>
      <c r="G40" s="160"/>
      <c r="H40" s="160"/>
      <c r="I40" s="160"/>
      <c r="J40" s="181"/>
      <c r="K40" s="182"/>
      <c r="L40" s="160"/>
      <c r="M40" s="160"/>
      <c r="N40" s="181"/>
      <c r="O40" s="98"/>
      <c r="P40" s="98"/>
      <c r="Q40" s="347"/>
      <c r="R40" s="348"/>
      <c r="S40" s="830"/>
      <c r="T40" s="831"/>
      <c r="U40" s="832"/>
      <c r="V40" s="21"/>
      <c r="AQ40" s="89"/>
    </row>
    <row r="41" spans="1:43" ht="13.15" customHeight="1" x14ac:dyDescent="0.2">
      <c r="A41" s="20"/>
      <c r="B41" s="424"/>
      <c r="C41" s="28"/>
      <c r="D41" s="27"/>
      <c r="E41" s="320"/>
      <c r="F41" s="124"/>
      <c r="G41" s="124"/>
      <c r="H41" s="124"/>
      <c r="I41" s="124"/>
      <c r="J41" s="354"/>
      <c r="K41" s="321"/>
      <c r="L41" s="124"/>
      <c r="M41" s="124"/>
      <c r="N41" s="354"/>
      <c r="O41" s="110"/>
      <c r="P41" s="99"/>
      <c r="Q41" s="80"/>
      <c r="R41" s="80"/>
      <c r="S41" s="94"/>
      <c r="T41" s="95"/>
      <c r="U41" s="96"/>
      <c r="V41" s="21"/>
      <c r="X41" s="61" t="s">
        <v>627</v>
      </c>
      <c r="Y41" s="61"/>
      <c r="Z41" s="61"/>
      <c r="AA41" s="61"/>
      <c r="AB41" s="61"/>
      <c r="AC41" s="61"/>
      <c r="AD41" s="61"/>
      <c r="AE41" s="61"/>
      <c r="AF41" s="61"/>
      <c r="AG41" s="60"/>
      <c r="AQ41" s="89"/>
    </row>
    <row r="42" spans="1:43" ht="13.15" customHeight="1" x14ac:dyDescent="0.2">
      <c r="A42" s="19" t="s">
        <v>215</v>
      </c>
      <c r="B42" s="60"/>
      <c r="C42" s="24">
        <v>15</v>
      </c>
      <c r="D42" s="24">
        <v>250</v>
      </c>
      <c r="E42" s="561" t="s">
        <v>247</v>
      </c>
      <c r="F42" s="562"/>
      <c r="G42" s="562"/>
      <c r="H42" s="562"/>
      <c r="I42" s="562"/>
      <c r="J42" s="563"/>
      <c r="K42" s="564" t="s">
        <v>678</v>
      </c>
      <c r="L42" s="562"/>
      <c r="M42" s="562"/>
      <c r="N42" s="563"/>
      <c r="O42" s="97" t="s">
        <v>236</v>
      </c>
      <c r="P42" s="97" t="s">
        <v>246</v>
      </c>
      <c r="Q42" s="565" t="s">
        <v>307</v>
      </c>
      <c r="R42" s="566"/>
      <c r="S42" s="109"/>
      <c r="T42" s="91"/>
      <c r="U42" s="92"/>
      <c r="V42" s="21"/>
      <c r="X42" s="61" t="s">
        <v>698</v>
      </c>
      <c r="Y42" s="61"/>
      <c r="Z42" s="61"/>
      <c r="AA42" s="61"/>
      <c r="AB42" s="61"/>
      <c r="AC42" s="61"/>
      <c r="AD42" s="61"/>
      <c r="AE42" s="61"/>
      <c r="AF42" s="61"/>
      <c r="AG42" s="60"/>
      <c r="AQ42" s="89"/>
    </row>
    <row r="43" spans="1:43" ht="13.15" customHeight="1" x14ac:dyDescent="0.2">
      <c r="A43" s="19"/>
      <c r="B43" s="60"/>
      <c r="C43" s="24"/>
      <c r="D43" s="24"/>
      <c r="E43" s="155"/>
      <c r="F43" s="160"/>
      <c r="G43" s="160"/>
      <c r="H43" s="160"/>
      <c r="I43" s="160"/>
      <c r="J43" s="181"/>
      <c r="K43" s="182"/>
      <c r="L43" s="160"/>
      <c r="M43" s="160"/>
      <c r="N43" s="181"/>
      <c r="O43" s="98"/>
      <c r="P43" s="98"/>
      <c r="Q43" s="347"/>
      <c r="R43" s="161"/>
      <c r="S43" s="88"/>
      <c r="U43" s="89"/>
      <c r="V43" s="21"/>
      <c r="X43" s="61" t="s">
        <v>699</v>
      </c>
      <c r="Y43" s="61"/>
      <c r="Z43" s="61"/>
      <c r="AA43" s="61"/>
      <c r="AB43" s="61"/>
      <c r="AC43" s="61"/>
      <c r="AD43" s="61"/>
      <c r="AE43" s="61"/>
      <c r="AF43" s="61"/>
      <c r="AG43" s="60"/>
      <c r="AQ43" s="89"/>
    </row>
    <row r="44" spans="1:43" ht="13.15" customHeight="1" x14ac:dyDescent="0.2">
      <c r="A44" s="20"/>
      <c r="B44" s="424"/>
      <c r="C44" s="28"/>
      <c r="D44" s="28"/>
      <c r="E44" s="320"/>
      <c r="F44" s="124"/>
      <c r="G44" s="124"/>
      <c r="H44" s="124"/>
      <c r="I44" s="124"/>
      <c r="J44" s="354"/>
      <c r="K44" s="321"/>
      <c r="L44" s="124"/>
      <c r="M44" s="124"/>
      <c r="N44" s="354"/>
      <c r="O44" s="110"/>
      <c r="P44" s="110"/>
      <c r="Q44" s="80"/>
      <c r="R44" s="80"/>
      <c r="S44" s="94"/>
      <c r="T44" s="95"/>
      <c r="U44" s="96"/>
      <c r="V44" s="21"/>
      <c r="AQ44" s="89"/>
    </row>
    <row r="45" spans="1:43" ht="13.15" customHeight="1" x14ac:dyDescent="0.2">
      <c r="A45" s="19" t="s">
        <v>214</v>
      </c>
      <c r="B45" s="60"/>
      <c r="C45" s="24">
        <v>15</v>
      </c>
      <c r="D45" s="24">
        <v>250</v>
      </c>
      <c r="E45" s="561" t="s">
        <v>483</v>
      </c>
      <c r="F45" s="562"/>
      <c r="G45" s="562"/>
      <c r="H45" s="562"/>
      <c r="I45" s="562"/>
      <c r="J45" s="563"/>
      <c r="K45" s="564" t="s">
        <v>365</v>
      </c>
      <c r="L45" s="562"/>
      <c r="M45" s="562"/>
      <c r="N45" s="563"/>
      <c r="O45" s="97" t="s">
        <v>337</v>
      </c>
      <c r="P45" s="97" t="s">
        <v>363</v>
      </c>
      <c r="Q45" s="565" t="s">
        <v>309</v>
      </c>
      <c r="R45" s="566"/>
      <c r="S45" s="109" t="s">
        <v>531</v>
      </c>
      <c r="T45" s="356"/>
      <c r="U45" s="368"/>
      <c r="V45" s="21"/>
      <c r="AQ45" s="89"/>
    </row>
    <row r="46" spans="1:43" ht="13.15" customHeight="1" x14ac:dyDescent="0.2">
      <c r="A46" s="19"/>
      <c r="B46" s="60"/>
      <c r="C46" s="24"/>
      <c r="D46" s="23"/>
      <c r="E46" s="155"/>
      <c r="F46" s="160"/>
      <c r="G46" s="160"/>
      <c r="H46" s="160"/>
      <c r="I46" s="160"/>
      <c r="J46" s="181"/>
      <c r="K46" s="182"/>
      <c r="L46" s="160"/>
      <c r="M46" s="160"/>
      <c r="N46" s="181"/>
      <c r="O46" s="98"/>
      <c r="P46" s="98"/>
      <c r="Q46" s="347"/>
      <c r="R46" s="161"/>
      <c r="S46" s="372"/>
      <c r="T46" s="311"/>
      <c r="U46" s="371"/>
      <c r="V46" s="21"/>
      <c r="AQ46" s="89"/>
    </row>
    <row r="47" spans="1:43" ht="13.15" customHeight="1" x14ac:dyDescent="0.2">
      <c r="A47" s="19"/>
      <c r="B47" s="60"/>
      <c r="C47" s="28"/>
      <c r="D47" s="27"/>
      <c r="E47" s="155"/>
      <c r="F47" s="160"/>
      <c r="G47" s="160"/>
      <c r="H47" s="160"/>
      <c r="I47" s="160"/>
      <c r="J47" s="181"/>
      <c r="K47" s="182"/>
      <c r="L47" s="160"/>
      <c r="M47" s="160"/>
      <c r="N47" s="181"/>
      <c r="O47" s="98"/>
      <c r="P47" s="98"/>
      <c r="Q47" s="347"/>
      <c r="R47" s="161"/>
      <c r="S47" s="94"/>
      <c r="T47" s="95"/>
      <c r="U47" s="96"/>
      <c r="V47" s="21"/>
      <c r="AQ47" s="89"/>
    </row>
    <row r="48" spans="1:43" ht="13.15" customHeight="1" x14ac:dyDescent="0.2">
      <c r="A48" s="26" t="s">
        <v>213</v>
      </c>
      <c r="B48" s="435"/>
      <c r="C48" s="24">
        <v>15</v>
      </c>
      <c r="D48" s="24">
        <v>250</v>
      </c>
      <c r="E48" s="561" t="s">
        <v>514</v>
      </c>
      <c r="F48" s="562"/>
      <c r="G48" s="562"/>
      <c r="H48" s="562"/>
      <c r="I48" s="562"/>
      <c r="J48" s="563"/>
      <c r="K48" s="564" t="s">
        <v>365</v>
      </c>
      <c r="L48" s="562"/>
      <c r="M48" s="562"/>
      <c r="N48" s="563"/>
      <c r="O48" s="97" t="s">
        <v>337</v>
      </c>
      <c r="P48" s="97" t="s">
        <v>248</v>
      </c>
      <c r="Q48" s="565" t="s">
        <v>309</v>
      </c>
      <c r="R48" s="566"/>
      <c r="S48" s="109"/>
      <c r="T48" s="356"/>
      <c r="U48" s="368"/>
      <c r="V48" s="21"/>
      <c r="AQ48" s="89"/>
    </row>
    <row r="49" spans="1:43" ht="13.15" customHeight="1" x14ac:dyDescent="0.2">
      <c r="A49" s="19"/>
      <c r="B49" s="60"/>
      <c r="C49" s="24"/>
      <c r="D49" s="24"/>
      <c r="E49" s="155"/>
      <c r="F49" s="80"/>
      <c r="G49" s="80"/>
      <c r="H49" s="80"/>
      <c r="I49" s="80"/>
      <c r="J49" s="366"/>
      <c r="K49" s="182"/>
      <c r="L49" s="80"/>
      <c r="M49" s="80"/>
      <c r="N49" s="366"/>
      <c r="O49" s="98"/>
      <c r="P49" s="98"/>
      <c r="Q49" s="347"/>
      <c r="R49" s="22"/>
      <c r="S49" s="372"/>
      <c r="T49" s="311"/>
      <c r="U49" s="371"/>
      <c r="V49" s="21"/>
      <c r="AQ49" s="89"/>
    </row>
    <row r="50" spans="1:43" ht="13.15" customHeight="1" x14ac:dyDescent="0.2">
      <c r="A50" s="20"/>
      <c r="B50" s="424"/>
      <c r="C50" s="28"/>
      <c r="D50" s="27"/>
      <c r="E50" s="155"/>
      <c r="F50" s="80"/>
      <c r="G50" s="80"/>
      <c r="H50" s="80"/>
      <c r="I50" s="80"/>
      <c r="J50" s="366"/>
      <c r="K50" s="182"/>
      <c r="L50" s="80"/>
      <c r="M50" s="80"/>
      <c r="N50" s="366"/>
      <c r="O50" s="98"/>
      <c r="P50" s="98"/>
      <c r="Q50" s="347"/>
      <c r="R50" s="22"/>
      <c r="S50" s="364"/>
      <c r="T50" s="365"/>
      <c r="U50" s="370"/>
      <c r="V50" s="21"/>
      <c r="AQ50" s="89"/>
    </row>
    <row r="51" spans="1:43" ht="13.15" customHeight="1" x14ac:dyDescent="0.2">
      <c r="A51" s="19" t="s">
        <v>264</v>
      </c>
      <c r="B51" s="60"/>
      <c r="C51" s="24" t="s">
        <v>313</v>
      </c>
      <c r="D51" s="24" t="s">
        <v>366</v>
      </c>
      <c r="E51" s="561" t="s">
        <v>458</v>
      </c>
      <c r="F51" s="562"/>
      <c r="G51" s="562"/>
      <c r="H51" s="562"/>
      <c r="I51" s="562"/>
      <c r="J51" s="563"/>
      <c r="K51" s="564" t="s">
        <v>655</v>
      </c>
      <c r="L51" s="562"/>
      <c r="M51" s="562"/>
      <c r="N51" s="563"/>
      <c r="O51" s="97" t="s">
        <v>337</v>
      </c>
      <c r="P51" s="97" t="s">
        <v>257</v>
      </c>
      <c r="Q51" s="565" t="s">
        <v>369</v>
      </c>
      <c r="R51" s="566"/>
      <c r="S51" s="109" t="s">
        <v>456</v>
      </c>
      <c r="T51" s="91"/>
      <c r="U51" s="92"/>
      <c r="V51" s="21"/>
      <c r="AQ51" s="89"/>
    </row>
    <row r="52" spans="1:43" ht="13.15" customHeight="1" x14ac:dyDescent="0.2">
      <c r="A52" s="20"/>
      <c r="B52" s="424"/>
      <c r="C52" s="28"/>
      <c r="D52" s="28"/>
      <c r="E52" s="320"/>
      <c r="F52" s="349"/>
      <c r="G52" s="349"/>
      <c r="H52" s="349"/>
      <c r="I52" s="349"/>
      <c r="J52" s="350"/>
      <c r="K52" s="321"/>
      <c r="L52" s="349"/>
      <c r="M52" s="349"/>
      <c r="N52" s="350"/>
      <c r="O52" s="146"/>
      <c r="P52" s="146"/>
      <c r="Q52" s="355"/>
      <c r="R52" s="367"/>
      <c r="S52" s="93"/>
      <c r="T52" s="266"/>
      <c r="U52" s="267"/>
      <c r="V52" s="21"/>
      <c r="AQ52" s="89"/>
    </row>
    <row r="53" spans="1:43" ht="13.15" customHeight="1" x14ac:dyDescent="0.2">
      <c r="A53" s="19" t="s">
        <v>212</v>
      </c>
      <c r="B53" s="60"/>
      <c r="C53" s="24" t="s">
        <v>313</v>
      </c>
      <c r="D53" s="24" t="s">
        <v>366</v>
      </c>
      <c r="E53" s="561" t="s">
        <v>315</v>
      </c>
      <c r="F53" s="562"/>
      <c r="G53" s="562"/>
      <c r="H53" s="562"/>
      <c r="I53" s="562"/>
      <c r="J53" s="563"/>
      <c r="K53" s="564" t="s">
        <v>655</v>
      </c>
      <c r="L53" s="562"/>
      <c r="M53" s="562"/>
      <c r="N53" s="563"/>
      <c r="O53" s="97" t="s">
        <v>337</v>
      </c>
      <c r="P53" s="97" t="s">
        <v>257</v>
      </c>
      <c r="Q53" s="565" t="s">
        <v>316</v>
      </c>
      <c r="R53" s="566"/>
      <c r="S53" s="109" t="s">
        <v>456</v>
      </c>
      <c r="T53" s="91"/>
      <c r="U53" s="92"/>
      <c r="V53" s="21"/>
      <c r="AQ53" s="89"/>
    </row>
    <row r="54" spans="1:43" ht="13.15" customHeight="1" x14ac:dyDescent="0.2">
      <c r="A54" s="20"/>
      <c r="B54" s="424"/>
      <c r="C54" s="28"/>
      <c r="D54" s="28"/>
      <c r="E54" s="320"/>
      <c r="F54" s="349"/>
      <c r="G54" s="349"/>
      <c r="H54" s="349"/>
      <c r="I54" s="349"/>
      <c r="J54" s="350"/>
      <c r="K54" s="321"/>
      <c r="L54" s="349"/>
      <c r="M54" s="349"/>
      <c r="N54" s="350"/>
      <c r="O54" s="110"/>
      <c r="P54" s="110"/>
      <c r="Q54" s="353"/>
      <c r="R54" s="352"/>
      <c r="S54" s="93"/>
      <c r="T54" s="95"/>
      <c r="U54" s="96"/>
      <c r="V54" s="21"/>
      <c r="W54" s="310"/>
      <c r="X54" s="310"/>
      <c r="Y54" s="311"/>
      <c r="Z54" s="311"/>
      <c r="AA54" s="311"/>
      <c r="AB54" s="311"/>
      <c r="AC54" s="311"/>
      <c r="AD54" s="311"/>
      <c r="AE54" s="310"/>
      <c r="AF54" s="311"/>
      <c r="AG54" s="311"/>
      <c r="AH54" s="311"/>
      <c r="AI54" s="310"/>
      <c r="AJ54" s="310"/>
      <c r="AK54" s="310"/>
      <c r="AL54" s="311"/>
      <c r="AM54" s="310"/>
      <c r="AN54" s="161"/>
      <c r="AO54" s="161"/>
      <c r="AP54" s="311"/>
      <c r="AQ54" s="89"/>
    </row>
    <row r="55" spans="1:43" ht="13.15" customHeight="1" x14ac:dyDescent="0.2">
      <c r="A55" s="19" t="s">
        <v>211</v>
      </c>
      <c r="B55" s="60"/>
      <c r="C55" s="29">
        <v>15</v>
      </c>
      <c r="D55" s="25">
        <v>250</v>
      </c>
      <c r="E55" s="561" t="s">
        <v>263</v>
      </c>
      <c r="F55" s="562"/>
      <c r="G55" s="562"/>
      <c r="H55" s="562"/>
      <c r="I55" s="562"/>
      <c r="J55" s="563"/>
      <c r="K55" s="564" t="s">
        <v>724</v>
      </c>
      <c r="L55" s="562"/>
      <c r="M55" s="562"/>
      <c r="N55" s="563"/>
      <c r="O55" s="97" t="s">
        <v>337</v>
      </c>
      <c r="P55" s="97"/>
      <c r="Q55" s="565" t="s">
        <v>339</v>
      </c>
      <c r="R55" s="566"/>
      <c r="S55" s="825" t="s">
        <v>669</v>
      </c>
      <c r="T55" s="552"/>
      <c r="U55" s="826"/>
      <c r="V55" s="21"/>
      <c r="W55" s="624" t="s">
        <v>259</v>
      </c>
      <c r="X55" s="551" t="s">
        <v>197</v>
      </c>
      <c r="Y55" s="552"/>
      <c r="Z55" s="552"/>
      <c r="AA55" s="552"/>
      <c r="AB55" s="552"/>
      <c r="AC55" s="552"/>
      <c r="AD55" s="553"/>
      <c r="AE55" s="557" t="s">
        <v>241</v>
      </c>
      <c r="AF55" s="552"/>
      <c r="AG55" s="552"/>
      <c r="AH55" s="553"/>
      <c r="AI55" s="559" t="s">
        <v>243</v>
      </c>
      <c r="AJ55" s="559" t="s">
        <v>242</v>
      </c>
      <c r="AK55" s="557" t="s">
        <v>244</v>
      </c>
      <c r="AL55" s="553"/>
      <c r="AM55" s="557" t="s">
        <v>245</v>
      </c>
      <c r="AN55" s="626"/>
      <c r="AO55" s="626"/>
      <c r="AP55" s="627"/>
      <c r="AQ55" s="89"/>
    </row>
    <row r="56" spans="1:43" ht="13.15" customHeight="1" x14ac:dyDescent="0.2">
      <c r="A56" s="19"/>
      <c r="B56" s="60"/>
      <c r="C56" s="24"/>
      <c r="D56" s="23"/>
      <c r="E56" s="155"/>
      <c r="F56" s="160"/>
      <c r="G56" s="160"/>
      <c r="H56" s="160"/>
      <c r="I56" s="160"/>
      <c r="J56" s="181"/>
      <c r="K56" s="182"/>
      <c r="L56" s="160"/>
      <c r="M56" s="160"/>
      <c r="N56" s="181"/>
      <c r="O56" s="98"/>
      <c r="P56" s="98"/>
      <c r="Q56" s="183"/>
      <c r="R56" s="22"/>
      <c r="S56" s="93"/>
      <c r="T56" s="311"/>
      <c r="U56" s="371"/>
      <c r="V56" s="21"/>
      <c r="W56" s="625"/>
      <c r="X56" s="554"/>
      <c r="Y56" s="555"/>
      <c r="Z56" s="555"/>
      <c r="AA56" s="555"/>
      <c r="AB56" s="555"/>
      <c r="AC56" s="555"/>
      <c r="AD56" s="556"/>
      <c r="AE56" s="558"/>
      <c r="AF56" s="555"/>
      <c r="AG56" s="555"/>
      <c r="AH56" s="556"/>
      <c r="AI56" s="560"/>
      <c r="AJ56" s="560"/>
      <c r="AK56" s="558"/>
      <c r="AL56" s="556"/>
      <c r="AM56" s="628"/>
      <c r="AN56" s="586"/>
      <c r="AO56" s="586"/>
      <c r="AP56" s="629"/>
      <c r="AQ56" s="89"/>
    </row>
    <row r="57" spans="1:43" ht="13.15" customHeight="1" x14ac:dyDescent="0.2">
      <c r="A57" s="19"/>
      <c r="B57" s="60"/>
      <c r="C57" s="27"/>
      <c r="D57" s="27"/>
      <c r="E57" s="155"/>
      <c r="F57" s="160"/>
      <c r="G57" s="160"/>
      <c r="H57" s="160"/>
      <c r="I57" s="160"/>
      <c r="J57" s="181"/>
      <c r="K57" s="321"/>
      <c r="L57" s="349"/>
      <c r="M57" s="349"/>
      <c r="N57" s="350"/>
      <c r="O57" s="110"/>
      <c r="P57" s="110"/>
      <c r="Q57" s="511"/>
      <c r="R57" s="352"/>
      <c r="S57" s="88"/>
      <c r="U57" s="89"/>
      <c r="V57" s="21"/>
      <c r="W57" s="127" t="s">
        <v>390</v>
      </c>
      <c r="X57" s="630" t="s">
        <v>349</v>
      </c>
      <c r="Y57" s="552"/>
      <c r="Z57" s="552"/>
      <c r="AA57" s="552"/>
      <c r="AB57" s="552"/>
      <c r="AC57" s="552"/>
      <c r="AD57" s="553"/>
      <c r="AE57" s="572">
        <v>1.5415000000000001</v>
      </c>
      <c r="AF57" s="573"/>
      <c r="AG57" s="573"/>
      <c r="AH57" s="574"/>
      <c r="AI57" s="125" t="s">
        <v>236</v>
      </c>
      <c r="AJ57" s="125" t="s">
        <v>246</v>
      </c>
      <c r="AK57" s="575" t="s">
        <v>348</v>
      </c>
      <c r="AL57" s="576"/>
      <c r="AM57" s="90"/>
      <c r="AN57" s="91"/>
      <c r="AO57" s="91"/>
      <c r="AP57" s="129"/>
      <c r="AQ57" s="89"/>
    </row>
    <row r="58" spans="1:43" ht="13.15" customHeight="1" x14ac:dyDescent="0.2">
      <c r="A58" s="375" t="s">
        <v>547</v>
      </c>
      <c r="B58" s="462"/>
      <c r="C58" s="376"/>
      <c r="D58" s="376"/>
      <c r="E58" s="587"/>
      <c r="F58" s="588"/>
      <c r="G58" s="588"/>
      <c r="H58" s="588"/>
      <c r="I58" s="588"/>
      <c r="J58" s="589"/>
      <c r="K58" s="590"/>
      <c r="L58" s="588"/>
      <c r="M58" s="588"/>
      <c r="N58" s="589"/>
      <c r="O58" s="377" t="s">
        <v>337</v>
      </c>
      <c r="P58" s="377"/>
      <c r="Q58" s="591" t="s">
        <v>549</v>
      </c>
      <c r="R58" s="592"/>
      <c r="S58" s="378"/>
      <c r="T58" s="379"/>
      <c r="U58" s="380"/>
      <c r="V58" s="21"/>
      <c r="W58" s="128" t="s">
        <v>391</v>
      </c>
      <c r="X58" s="546" t="s">
        <v>350</v>
      </c>
      <c r="Y58" s="547"/>
      <c r="Z58" s="547"/>
      <c r="AA58" s="547"/>
      <c r="AB58" s="547"/>
      <c r="AC58" s="547"/>
      <c r="AD58" s="548"/>
      <c r="AE58" s="541">
        <v>1.5415000000000001</v>
      </c>
      <c r="AF58" s="542"/>
      <c r="AG58" s="542"/>
      <c r="AH58" s="543"/>
      <c r="AI58" s="126" t="s">
        <v>236</v>
      </c>
      <c r="AJ58" s="126" t="s">
        <v>246</v>
      </c>
      <c r="AK58" s="544" t="s">
        <v>348</v>
      </c>
      <c r="AL58" s="545"/>
      <c r="AM58" s="88"/>
      <c r="AP58" s="130"/>
      <c r="AQ58" s="89"/>
    </row>
    <row r="59" spans="1:43" ht="13.15" customHeight="1" x14ac:dyDescent="0.2">
      <c r="A59" s="26" t="s">
        <v>278</v>
      </c>
      <c r="B59" s="60"/>
      <c r="C59" s="24" t="s">
        <v>210</v>
      </c>
      <c r="D59" s="25">
        <v>50</v>
      </c>
      <c r="E59" s="561" t="s">
        <v>507</v>
      </c>
      <c r="F59" s="595"/>
      <c r="G59" s="595"/>
      <c r="H59" s="595"/>
      <c r="I59" s="595"/>
      <c r="J59" s="596"/>
      <c r="K59" s="597" t="s">
        <v>451</v>
      </c>
      <c r="L59" s="598"/>
      <c r="M59" s="598"/>
      <c r="N59" s="599"/>
      <c r="O59" s="97" t="s">
        <v>337</v>
      </c>
      <c r="P59" s="97" t="s">
        <v>283</v>
      </c>
      <c r="Q59" s="565" t="s">
        <v>266</v>
      </c>
      <c r="R59" s="566"/>
      <c r="S59" s="90"/>
      <c r="T59" s="91"/>
      <c r="U59" s="92"/>
      <c r="V59" s="21"/>
      <c r="W59" s="128" t="s">
        <v>345</v>
      </c>
      <c r="X59" s="546" t="s">
        <v>431</v>
      </c>
      <c r="Y59" s="547"/>
      <c r="Z59" s="547"/>
      <c r="AA59" s="547"/>
      <c r="AB59" s="547"/>
      <c r="AC59" s="547"/>
      <c r="AD59" s="548"/>
      <c r="AE59" s="541" t="s">
        <v>393</v>
      </c>
      <c r="AF59" s="542"/>
      <c r="AG59" s="542"/>
      <c r="AH59" s="543"/>
      <c r="AI59" s="126" t="s">
        <v>236</v>
      </c>
      <c r="AJ59" s="126" t="s">
        <v>328</v>
      </c>
      <c r="AK59" s="544" t="s">
        <v>347</v>
      </c>
      <c r="AL59" s="545"/>
      <c r="AM59" s="88"/>
      <c r="AP59" s="130"/>
      <c r="AQ59" s="89"/>
    </row>
    <row r="60" spans="1:43" ht="13.15" customHeight="1" x14ac:dyDescent="0.2">
      <c r="A60" s="178" t="s">
        <v>279</v>
      </c>
      <c r="B60" s="374"/>
      <c r="C60" s="24">
        <v>80</v>
      </c>
      <c r="D60" s="23" t="s">
        <v>277</v>
      </c>
      <c r="E60" s="619" t="s">
        <v>508</v>
      </c>
      <c r="F60" s="620"/>
      <c r="G60" s="620"/>
      <c r="H60" s="620"/>
      <c r="I60" s="620"/>
      <c r="J60" s="621"/>
      <c r="K60" s="567" t="s">
        <v>451</v>
      </c>
      <c r="L60" s="568"/>
      <c r="M60" s="568"/>
      <c r="N60" s="569"/>
      <c r="O60" s="98" t="s">
        <v>337</v>
      </c>
      <c r="P60" s="98" t="s">
        <v>283</v>
      </c>
      <c r="Q60" s="570" t="s">
        <v>266</v>
      </c>
      <c r="R60" s="571"/>
      <c r="S60" s="88"/>
      <c r="U60" s="89"/>
      <c r="V60" s="21"/>
      <c r="W60" s="128" t="s">
        <v>346</v>
      </c>
      <c r="X60" s="546" t="s">
        <v>432</v>
      </c>
      <c r="Y60" s="547"/>
      <c r="Z60" s="547"/>
      <c r="AA60" s="547"/>
      <c r="AB60" s="547"/>
      <c r="AC60" s="547"/>
      <c r="AD60" s="548"/>
      <c r="AE60" s="541" t="s">
        <v>393</v>
      </c>
      <c r="AF60" s="542"/>
      <c r="AG60" s="542"/>
      <c r="AH60" s="543"/>
      <c r="AI60" s="126" t="s">
        <v>236</v>
      </c>
      <c r="AJ60" s="126" t="s">
        <v>328</v>
      </c>
      <c r="AK60" s="544" t="s">
        <v>347</v>
      </c>
      <c r="AL60" s="545"/>
      <c r="AM60" s="329" t="s">
        <v>631</v>
      </c>
      <c r="AP60" s="130"/>
      <c r="AQ60" s="89"/>
    </row>
    <row r="61" spans="1:43" ht="13.15" customHeight="1" x14ac:dyDescent="0.2">
      <c r="A61" s="178" t="s">
        <v>280</v>
      </c>
      <c r="B61" s="374"/>
      <c r="C61" s="24"/>
      <c r="D61" s="23"/>
      <c r="E61" s="184"/>
      <c r="F61" s="179"/>
      <c r="G61" s="179"/>
      <c r="H61" s="179"/>
      <c r="I61" s="179"/>
      <c r="J61" s="179"/>
      <c r="K61" s="179"/>
      <c r="L61" s="179"/>
      <c r="M61" s="179"/>
      <c r="N61" s="179"/>
      <c r="O61" s="179"/>
      <c r="P61" s="179"/>
      <c r="Q61" s="179"/>
      <c r="R61" s="180"/>
      <c r="S61" s="88"/>
      <c r="U61" s="89"/>
      <c r="V61" s="21"/>
      <c r="W61" s="128" t="s">
        <v>328</v>
      </c>
      <c r="X61" s="546" t="s">
        <v>395</v>
      </c>
      <c r="Y61" s="547"/>
      <c r="Z61" s="547"/>
      <c r="AA61" s="547"/>
      <c r="AB61" s="547"/>
      <c r="AC61" s="547"/>
      <c r="AD61" s="548"/>
      <c r="AE61" s="541" t="s">
        <v>392</v>
      </c>
      <c r="AF61" s="542"/>
      <c r="AG61" s="542"/>
      <c r="AH61" s="543"/>
      <c r="AI61" s="126" t="s">
        <v>236</v>
      </c>
      <c r="AJ61" s="126" t="s">
        <v>328</v>
      </c>
      <c r="AK61" s="544" t="s">
        <v>347</v>
      </c>
      <c r="AL61" s="545"/>
      <c r="AM61" s="329" t="s">
        <v>631</v>
      </c>
      <c r="AP61" s="130"/>
      <c r="AQ61" s="89"/>
    </row>
    <row r="62" spans="1:43" ht="13.15" customHeight="1" x14ac:dyDescent="0.2">
      <c r="A62" s="178" t="s">
        <v>281</v>
      </c>
      <c r="B62" s="374"/>
      <c r="C62" s="24"/>
      <c r="D62" s="23"/>
      <c r="E62" s="155"/>
      <c r="F62" s="80"/>
      <c r="G62" s="80"/>
      <c r="H62" s="80"/>
      <c r="I62" s="80"/>
      <c r="J62" s="80"/>
      <c r="K62" s="80"/>
      <c r="L62" s="80"/>
      <c r="M62" s="80"/>
      <c r="N62" s="80"/>
      <c r="O62" s="80"/>
      <c r="P62" s="80"/>
      <c r="Q62" s="80"/>
      <c r="R62" s="80"/>
      <c r="S62" s="88"/>
      <c r="U62" s="89"/>
      <c r="V62" s="21"/>
      <c r="W62" s="128"/>
      <c r="X62" s="260"/>
      <c r="Y62" s="160"/>
      <c r="Z62" s="160"/>
      <c r="AA62" s="160"/>
      <c r="AB62" s="160"/>
      <c r="AE62" s="541"/>
      <c r="AF62" s="542"/>
      <c r="AG62" s="542"/>
      <c r="AH62" s="543"/>
      <c r="AI62" s="126"/>
      <c r="AJ62" s="126"/>
      <c r="AK62" s="544"/>
      <c r="AL62" s="545"/>
      <c r="AM62" s="88"/>
      <c r="AP62" s="130"/>
      <c r="AQ62" s="89"/>
    </row>
    <row r="63" spans="1:43" ht="13.15" customHeight="1" x14ac:dyDescent="0.2">
      <c r="A63" s="178" t="s">
        <v>282</v>
      </c>
      <c r="B63" s="374"/>
      <c r="C63" s="23"/>
      <c r="D63" s="22"/>
      <c r="E63" s="155"/>
      <c r="F63" s="80"/>
      <c r="G63" s="80"/>
      <c r="H63" s="80"/>
      <c r="I63" s="80"/>
      <c r="J63" s="80"/>
      <c r="K63" s="80"/>
      <c r="L63" s="80"/>
      <c r="M63" s="80"/>
      <c r="N63" s="80"/>
      <c r="O63" s="80"/>
      <c r="P63" s="80"/>
      <c r="Q63" s="80"/>
      <c r="R63" s="80"/>
      <c r="S63" s="94"/>
      <c r="T63" s="95"/>
      <c r="U63" s="96"/>
      <c r="V63" s="21"/>
      <c r="W63" s="132"/>
      <c r="X63" s="94"/>
      <c r="Y63" s="95"/>
      <c r="Z63" s="95"/>
      <c r="AA63" s="95"/>
      <c r="AB63" s="95"/>
      <c r="AC63" s="95"/>
      <c r="AD63" s="133"/>
      <c r="AE63" s="134"/>
      <c r="AF63" s="95"/>
      <c r="AG63" s="95"/>
      <c r="AH63" s="133"/>
      <c r="AI63" s="135"/>
      <c r="AJ63" s="135"/>
      <c r="AK63" s="134"/>
      <c r="AL63" s="131"/>
      <c r="AM63" s="95"/>
      <c r="AN63" s="95"/>
      <c r="AO63" s="95"/>
      <c r="AP63" s="131"/>
      <c r="AQ63" s="89"/>
    </row>
    <row r="64" spans="1:43" ht="13.15" customHeight="1" x14ac:dyDescent="0.2">
      <c r="A64" s="741" t="s">
        <v>702</v>
      </c>
      <c r="B64" s="742"/>
      <c r="C64" s="689"/>
      <c r="D64" s="689"/>
      <c r="E64" s="689"/>
      <c r="F64" s="689"/>
      <c r="G64" s="689"/>
      <c r="H64" s="689"/>
      <c r="I64" s="689"/>
      <c r="J64" s="689"/>
      <c r="K64" s="689"/>
      <c r="L64" s="689"/>
      <c r="M64" s="689"/>
      <c r="N64" s="689"/>
      <c r="O64" s="689"/>
      <c r="P64" s="689"/>
      <c r="Q64" s="689"/>
      <c r="R64" s="743"/>
      <c r="S64" s="327" t="s">
        <v>479</v>
      </c>
      <c r="T64" s="91"/>
      <c r="U64" s="92"/>
      <c r="V64" s="21"/>
      <c r="AQ64" s="89"/>
    </row>
    <row r="65" spans="1:43" ht="13.15" customHeight="1" x14ac:dyDescent="0.2">
      <c r="A65" s="744"/>
      <c r="B65" s="692"/>
      <c r="C65" s="692"/>
      <c r="D65" s="692"/>
      <c r="E65" s="692"/>
      <c r="F65" s="692"/>
      <c r="G65" s="692"/>
      <c r="H65" s="692"/>
      <c r="I65" s="692"/>
      <c r="J65" s="692"/>
      <c r="K65" s="692"/>
      <c r="L65" s="692"/>
      <c r="M65" s="692"/>
      <c r="N65" s="692"/>
      <c r="O65" s="692"/>
      <c r="P65" s="692"/>
      <c r="Q65" s="692"/>
      <c r="R65" s="745"/>
      <c r="S65" s="93" t="s">
        <v>480</v>
      </c>
      <c r="U65" s="89"/>
      <c r="V65" s="21"/>
      <c r="AQ65" s="89"/>
    </row>
    <row r="66" spans="1:43" ht="13.15" customHeight="1" x14ac:dyDescent="0.2">
      <c r="A66" s="744"/>
      <c r="B66" s="692"/>
      <c r="C66" s="692"/>
      <c r="D66" s="692"/>
      <c r="E66" s="692"/>
      <c r="F66" s="692"/>
      <c r="G66" s="692"/>
      <c r="H66" s="692"/>
      <c r="I66" s="692"/>
      <c r="J66" s="692"/>
      <c r="K66" s="692"/>
      <c r="L66" s="692"/>
      <c r="M66" s="692"/>
      <c r="N66" s="692"/>
      <c r="O66" s="692"/>
      <c r="P66" s="692"/>
      <c r="Q66" s="692"/>
      <c r="R66" s="745"/>
      <c r="S66" s="93" t="s">
        <v>486</v>
      </c>
      <c r="U66" s="89"/>
      <c r="V66" s="21"/>
      <c r="AQ66" s="89"/>
    </row>
    <row r="67" spans="1:43" ht="13.15" customHeight="1" x14ac:dyDescent="0.2">
      <c r="A67" s="744"/>
      <c r="B67" s="692"/>
      <c r="C67" s="692"/>
      <c r="D67" s="692"/>
      <c r="E67" s="692"/>
      <c r="F67" s="692"/>
      <c r="G67" s="692"/>
      <c r="H67" s="692"/>
      <c r="I67" s="692"/>
      <c r="J67" s="692"/>
      <c r="K67" s="692"/>
      <c r="L67" s="692"/>
      <c r="M67" s="692"/>
      <c r="N67" s="692"/>
      <c r="O67" s="692"/>
      <c r="P67" s="692"/>
      <c r="Q67" s="692"/>
      <c r="R67" s="745"/>
      <c r="S67" s="93" t="s">
        <v>487</v>
      </c>
      <c r="U67" s="89"/>
      <c r="V67" s="21"/>
      <c r="AQ67" s="89"/>
    </row>
    <row r="68" spans="1:43" ht="13.15" customHeight="1" x14ac:dyDescent="0.2">
      <c r="A68" s="744"/>
      <c r="B68" s="692"/>
      <c r="C68" s="692"/>
      <c r="D68" s="692"/>
      <c r="E68" s="692"/>
      <c r="F68" s="692"/>
      <c r="G68" s="692"/>
      <c r="H68" s="692"/>
      <c r="I68" s="692"/>
      <c r="J68" s="692"/>
      <c r="K68" s="692"/>
      <c r="L68" s="692"/>
      <c r="M68" s="692"/>
      <c r="N68" s="692"/>
      <c r="O68" s="692"/>
      <c r="P68" s="692"/>
      <c r="Q68" s="692"/>
      <c r="R68" s="745"/>
      <c r="S68" s="93" t="s">
        <v>488</v>
      </c>
      <c r="U68" s="89"/>
      <c r="V68" s="21"/>
      <c r="AQ68" s="89"/>
    </row>
    <row r="69" spans="1:43" ht="13.15" customHeight="1" x14ac:dyDescent="0.2">
      <c r="A69" s="744"/>
      <c r="B69" s="692"/>
      <c r="C69" s="692"/>
      <c r="D69" s="692"/>
      <c r="E69" s="692"/>
      <c r="F69" s="692"/>
      <c r="G69" s="692"/>
      <c r="H69" s="692"/>
      <c r="I69" s="692"/>
      <c r="J69" s="692"/>
      <c r="K69" s="692"/>
      <c r="L69" s="692"/>
      <c r="M69" s="692"/>
      <c r="N69" s="692"/>
      <c r="O69" s="692"/>
      <c r="P69" s="692"/>
      <c r="Q69" s="692"/>
      <c r="R69" s="745"/>
      <c r="S69" s="60" t="s">
        <v>499</v>
      </c>
      <c r="U69" s="89"/>
      <c r="V69" s="21"/>
      <c r="AQ69" s="89"/>
    </row>
    <row r="70" spans="1:43" ht="13.15" customHeight="1" x14ac:dyDescent="0.2">
      <c r="A70" s="622" t="s">
        <v>535</v>
      </c>
      <c r="B70" s="623"/>
      <c r="C70" s="623"/>
      <c r="D70" s="623"/>
      <c r="E70" s="623"/>
      <c r="F70" s="623"/>
      <c r="G70" s="623"/>
      <c r="H70" s="623"/>
      <c r="I70" s="623"/>
      <c r="J70" s="623"/>
      <c r="K70" s="623"/>
      <c r="L70" s="623"/>
      <c r="M70" s="623"/>
      <c r="N70" s="623"/>
      <c r="O70" s="623"/>
      <c r="P70" s="623"/>
      <c r="Q70" s="623"/>
      <c r="R70" s="623"/>
      <c r="S70" s="93" t="s">
        <v>498</v>
      </c>
      <c r="U70" s="89"/>
      <c r="V70" s="21"/>
      <c r="AQ70" s="89"/>
    </row>
    <row r="71" spans="1:43" ht="13.15" customHeight="1" x14ac:dyDescent="0.2">
      <c r="A71" s="19" t="s">
        <v>260</v>
      </c>
      <c r="B71" s="435"/>
      <c r="C71" s="583" t="s">
        <v>269</v>
      </c>
      <c r="D71" s="602"/>
      <c r="E71" s="602"/>
      <c r="F71" s="602"/>
      <c r="G71" s="602"/>
      <c r="H71" s="602"/>
      <c r="I71" s="602"/>
      <c r="J71" s="602"/>
      <c r="K71" s="602"/>
      <c r="L71" s="602"/>
      <c r="M71" s="602"/>
      <c r="N71" s="602"/>
      <c r="O71" s="602"/>
      <c r="P71" s="602"/>
      <c r="Q71" s="602"/>
      <c r="R71" s="602"/>
      <c r="S71" s="93" t="s">
        <v>489</v>
      </c>
      <c r="U71" s="89"/>
      <c r="V71" s="21"/>
      <c r="AQ71" s="89"/>
    </row>
    <row r="72" spans="1:43" ht="13.15" customHeight="1" x14ac:dyDescent="0.2">
      <c r="A72" s="375" t="s">
        <v>478</v>
      </c>
      <c r="B72" s="463"/>
      <c r="C72" s="587" t="s">
        <v>269</v>
      </c>
      <c r="D72" s="609"/>
      <c r="E72" s="609"/>
      <c r="F72" s="609"/>
      <c r="G72" s="609"/>
      <c r="H72" s="609"/>
      <c r="I72" s="609"/>
      <c r="J72" s="609"/>
      <c r="K72" s="609"/>
      <c r="L72" s="609"/>
      <c r="M72" s="609"/>
      <c r="N72" s="609"/>
      <c r="O72" s="609"/>
      <c r="P72" s="609"/>
      <c r="Q72" s="609"/>
      <c r="R72" s="609"/>
      <c r="S72" s="93" t="s">
        <v>490</v>
      </c>
      <c r="U72" s="89"/>
      <c r="V72" s="21"/>
      <c r="AQ72" s="89"/>
    </row>
    <row r="73" spans="1:43" ht="13.15" customHeight="1" x14ac:dyDescent="0.2">
      <c r="A73" s="19" t="s">
        <v>372</v>
      </c>
      <c r="B73" s="60"/>
      <c r="C73" s="583" t="s">
        <v>320</v>
      </c>
      <c r="D73" s="600"/>
      <c r="E73" s="600"/>
      <c r="F73" s="600"/>
      <c r="G73" s="600"/>
      <c r="H73" s="600"/>
      <c r="I73" s="600"/>
      <c r="J73" s="600"/>
      <c r="K73" s="600"/>
      <c r="L73" s="600"/>
      <c r="M73" s="600"/>
      <c r="N73" s="600"/>
      <c r="O73" s="600"/>
      <c r="P73" s="600"/>
      <c r="Q73" s="600"/>
      <c r="R73" s="600"/>
      <c r="S73" s="93" t="s">
        <v>491</v>
      </c>
      <c r="U73" s="89"/>
      <c r="V73" s="21"/>
      <c r="AQ73" s="89"/>
    </row>
    <row r="74" spans="1:43" ht="13.15" customHeight="1" x14ac:dyDescent="0.2">
      <c r="A74" s="19" t="s">
        <v>373</v>
      </c>
      <c r="B74" s="60"/>
      <c r="C74" s="610" t="s">
        <v>626</v>
      </c>
      <c r="D74" s="611"/>
      <c r="E74" s="611"/>
      <c r="F74" s="611"/>
      <c r="G74" s="611"/>
      <c r="H74" s="611"/>
      <c r="I74" s="611"/>
      <c r="J74" s="611"/>
      <c r="K74" s="611"/>
      <c r="L74" s="611"/>
      <c r="M74" s="611"/>
      <c r="N74" s="611"/>
      <c r="O74" s="611"/>
      <c r="P74" s="611"/>
      <c r="Q74" s="611"/>
      <c r="R74" s="612"/>
      <c r="S74" s="93" t="s">
        <v>492</v>
      </c>
      <c r="U74" s="89"/>
      <c r="V74" s="21"/>
      <c r="AQ74" s="89"/>
    </row>
    <row r="75" spans="1:43" ht="13.15" customHeight="1" x14ac:dyDescent="0.2">
      <c r="A75" s="19" t="s">
        <v>261</v>
      </c>
      <c r="B75" s="60"/>
      <c r="C75" s="610" t="s">
        <v>321</v>
      </c>
      <c r="D75" s="613"/>
      <c r="E75" s="613"/>
      <c r="F75" s="613"/>
      <c r="G75" s="613"/>
      <c r="H75" s="613"/>
      <c r="I75" s="613"/>
      <c r="J75" s="613"/>
      <c r="K75" s="613"/>
      <c r="L75" s="613"/>
      <c r="M75" s="613"/>
      <c r="N75" s="613"/>
      <c r="O75" s="613"/>
      <c r="P75" s="613"/>
      <c r="Q75" s="613"/>
      <c r="R75" s="614"/>
      <c r="S75" s="93" t="s">
        <v>493</v>
      </c>
      <c r="U75" s="89"/>
      <c r="V75" s="21"/>
      <c r="AQ75" s="89"/>
    </row>
    <row r="76" spans="1:43" ht="13.15" customHeight="1" x14ac:dyDescent="0.2">
      <c r="A76" s="19" t="s">
        <v>262</v>
      </c>
      <c r="B76" s="60"/>
      <c r="C76" s="583" t="s">
        <v>324</v>
      </c>
      <c r="D76" s="600"/>
      <c r="E76" s="600"/>
      <c r="F76" s="600"/>
      <c r="G76" s="600"/>
      <c r="H76" s="600"/>
      <c r="I76" s="600"/>
      <c r="J76" s="600"/>
      <c r="K76" s="600"/>
      <c r="L76" s="600"/>
      <c r="M76" s="600"/>
      <c r="N76" s="600"/>
      <c r="O76" s="600"/>
      <c r="P76" s="600"/>
      <c r="Q76" s="600"/>
      <c r="R76" s="600"/>
      <c r="S76" s="88"/>
      <c r="U76" s="89"/>
      <c r="V76" s="21"/>
      <c r="AQ76" s="89"/>
    </row>
    <row r="77" spans="1:43" ht="13.15" customHeight="1" x14ac:dyDescent="0.2">
      <c r="A77" s="19"/>
      <c r="B77" s="60"/>
      <c r="C77" s="583" t="s">
        <v>228</v>
      </c>
      <c r="D77" s="600"/>
      <c r="E77" s="600"/>
      <c r="F77" s="600"/>
      <c r="G77" s="600"/>
      <c r="H77" s="600"/>
      <c r="I77" s="600"/>
      <c r="J77" s="600"/>
      <c r="K77" s="600"/>
      <c r="L77" s="600"/>
      <c r="M77" s="600"/>
      <c r="N77" s="600"/>
      <c r="O77" s="600"/>
      <c r="P77" s="600"/>
      <c r="Q77" s="600"/>
      <c r="R77" s="600"/>
      <c r="S77" s="88"/>
      <c r="U77" s="89"/>
      <c r="V77" s="21"/>
      <c r="AQ77" s="89"/>
    </row>
    <row r="78" spans="1:43" ht="13.15" customHeight="1" thickBot="1" x14ac:dyDescent="0.25">
      <c r="A78" s="19"/>
      <c r="B78" s="60"/>
      <c r="C78" s="583" t="s">
        <v>270</v>
      </c>
      <c r="D78" s="602"/>
      <c r="E78" s="602"/>
      <c r="F78" s="602"/>
      <c r="G78" s="602"/>
      <c r="H78" s="602"/>
      <c r="I78" s="602"/>
      <c r="J78" s="602"/>
      <c r="K78" s="602"/>
      <c r="L78" s="602"/>
      <c r="M78" s="602"/>
      <c r="N78" s="602"/>
      <c r="O78" s="602"/>
      <c r="P78" s="602"/>
      <c r="Q78" s="602"/>
      <c r="R78" s="602"/>
      <c r="S78" s="326"/>
      <c r="T78" s="143"/>
      <c r="U78" s="144"/>
      <c r="V78" s="21"/>
      <c r="X78" s="143"/>
      <c r="Y78" s="143"/>
      <c r="Z78" s="143"/>
      <c r="AA78" s="143"/>
      <c r="AB78" s="143"/>
      <c r="AC78" s="143"/>
      <c r="AD78" s="143"/>
      <c r="AE78" s="143"/>
      <c r="AF78" s="143"/>
      <c r="AG78" s="143"/>
      <c r="AH78" s="143"/>
      <c r="AI78" s="143"/>
      <c r="AJ78" s="143"/>
      <c r="AK78" s="143"/>
      <c r="AL78" s="143"/>
      <c r="AM78" s="143"/>
      <c r="AN78" s="143"/>
      <c r="AO78" s="143"/>
      <c r="AP78" s="143"/>
      <c r="AQ78" s="89"/>
    </row>
    <row r="79" spans="1:43" ht="13.15" customHeight="1" x14ac:dyDescent="0.2">
      <c r="A79" s="162" t="s">
        <v>209</v>
      </c>
      <c r="B79" s="464"/>
      <c r="C79" s="18" t="s">
        <v>208</v>
      </c>
      <c r="D79" s="16"/>
      <c r="E79" s="18" t="s">
        <v>207</v>
      </c>
      <c r="F79" s="18"/>
      <c r="G79" s="18" t="s">
        <v>206</v>
      </c>
      <c r="H79" s="17" t="e">
        <f>#REF!</f>
        <v>#REF!</v>
      </c>
      <c r="I79" s="16"/>
      <c r="J79" s="16"/>
      <c r="K79" s="16"/>
      <c r="L79" s="16"/>
      <c r="M79" s="16"/>
      <c r="N79" s="16"/>
      <c r="O79" s="16"/>
      <c r="P79" s="16"/>
      <c r="Q79" s="16"/>
      <c r="R79" s="16"/>
      <c r="S79" s="103"/>
      <c r="T79" s="103"/>
      <c r="U79" s="145"/>
      <c r="V79" s="162" t="s">
        <v>209</v>
      </c>
      <c r="W79" s="16"/>
      <c r="X79" s="163"/>
      <c r="Y79" s="18" t="s">
        <v>208</v>
      </c>
      <c r="Z79" s="16"/>
      <c r="AA79" s="18" t="s">
        <v>207</v>
      </c>
      <c r="AB79" s="18"/>
      <c r="AC79" s="18" t="s">
        <v>206</v>
      </c>
      <c r="AD79" s="17" t="e">
        <f>H79</f>
        <v>#REF!</v>
      </c>
      <c r="AE79" s="16"/>
      <c r="AF79" s="16"/>
      <c r="AG79" s="16"/>
      <c r="AH79" s="16"/>
      <c r="AI79" s="16"/>
      <c r="AJ79" s="16"/>
      <c r="AK79" s="16"/>
      <c r="AL79" s="16"/>
      <c r="AM79" s="16"/>
      <c r="AN79" s="103"/>
      <c r="AO79" s="103"/>
      <c r="AP79" s="103"/>
      <c r="AQ79" s="145"/>
    </row>
    <row r="80" spans="1:43" ht="13.15" customHeight="1" thickBot="1" x14ac:dyDescent="0.25">
      <c r="A80" s="159" t="e">
        <f>#REF!</f>
        <v>#REF!</v>
      </c>
      <c r="B80" s="175"/>
      <c r="C80" s="603" t="e">
        <f>#REF!</f>
        <v>#REF!</v>
      </c>
      <c r="D80" s="604"/>
      <c r="E80" s="605" t="e">
        <f>#REF!</f>
        <v>#REF!</v>
      </c>
      <c r="F80" s="606"/>
      <c r="G80" s="15"/>
      <c r="H80" s="14"/>
      <c r="I80" s="14"/>
      <c r="J80" s="14"/>
      <c r="K80" s="14"/>
      <c r="L80" s="14"/>
      <c r="M80" s="14"/>
      <c r="N80" s="14"/>
      <c r="O80" s="14"/>
      <c r="P80" s="14"/>
      <c r="Q80" s="14"/>
      <c r="R80" s="14"/>
      <c r="S80" s="143"/>
      <c r="T80" s="143"/>
      <c r="U80" s="144"/>
      <c r="V80" s="121"/>
      <c r="W80" s="175" t="e">
        <f>A80</f>
        <v>#REF!</v>
      </c>
      <c r="X80" s="164"/>
      <c r="Y80" s="603" t="e">
        <f>C80</f>
        <v>#REF!</v>
      </c>
      <c r="Z80" s="607"/>
      <c r="AA80" s="605" t="e">
        <f>E80</f>
        <v>#REF!</v>
      </c>
      <c r="AB80" s="608"/>
      <c r="AC80" s="15"/>
      <c r="AD80" s="14"/>
      <c r="AE80" s="14"/>
      <c r="AF80" s="14"/>
      <c r="AG80" s="14"/>
      <c r="AH80" s="14"/>
      <c r="AI80" s="14"/>
      <c r="AJ80" s="14"/>
      <c r="AK80" s="14"/>
      <c r="AL80" s="14"/>
      <c r="AM80" s="14"/>
      <c r="AN80" s="143"/>
      <c r="AO80" s="143"/>
      <c r="AP80" s="143"/>
      <c r="AQ80" s="144"/>
    </row>
  </sheetData>
  <mergeCells count="135">
    <mergeCell ref="AI55:AI56"/>
    <mergeCell ref="AJ55:AJ56"/>
    <mergeCell ref="AK55:AL56"/>
    <mergeCell ref="AM55:AP56"/>
    <mergeCell ref="C11:O11"/>
    <mergeCell ref="P10:U12"/>
    <mergeCell ref="P15:U16"/>
    <mergeCell ref="X18:AP18"/>
    <mergeCell ref="AK62:AL62"/>
    <mergeCell ref="E48:J48"/>
    <mergeCell ref="K48:N48"/>
    <mergeCell ref="Q36:R36"/>
    <mergeCell ref="K42:N42"/>
    <mergeCell ref="E37:J37"/>
    <mergeCell ref="E38:J38"/>
    <mergeCell ref="E39:J39"/>
    <mergeCell ref="Q37:R37"/>
    <mergeCell ref="Q38:R38"/>
    <mergeCell ref="Q39:R39"/>
    <mergeCell ref="K37:N37"/>
    <mergeCell ref="S39:U40"/>
    <mergeCell ref="V19:V37"/>
    <mergeCell ref="X39:AP39"/>
    <mergeCell ref="AE59:AH59"/>
    <mergeCell ref="AE60:AH60"/>
    <mergeCell ref="Q58:R58"/>
    <mergeCell ref="Q53:R53"/>
    <mergeCell ref="Q55:R55"/>
    <mergeCell ref="K53:N53"/>
    <mergeCell ref="K55:N55"/>
    <mergeCell ref="AE62:AH62"/>
    <mergeCell ref="X60:AD60"/>
    <mergeCell ref="K60:N60"/>
    <mergeCell ref="X57:AD57"/>
    <mergeCell ref="X58:AD58"/>
    <mergeCell ref="K59:N59"/>
    <mergeCell ref="Q59:R59"/>
    <mergeCell ref="K58:N58"/>
    <mergeCell ref="W55:W56"/>
    <mergeCell ref="X55:AD56"/>
    <mergeCell ref="AE55:AH56"/>
    <mergeCell ref="AB7:AE7"/>
    <mergeCell ref="F7:I7"/>
    <mergeCell ref="AK57:AL57"/>
    <mergeCell ref="AK58:AL58"/>
    <mergeCell ref="AK59:AL59"/>
    <mergeCell ref="AK60:AL60"/>
    <mergeCell ref="AE61:AH61"/>
    <mergeCell ref="AK61:AL61"/>
    <mergeCell ref="X61:AD61"/>
    <mergeCell ref="AE57:AH57"/>
    <mergeCell ref="X59:AD59"/>
    <mergeCell ref="E51:J51"/>
    <mergeCell ref="K51:N51"/>
    <mergeCell ref="Q51:R51"/>
    <mergeCell ref="E35:J35"/>
    <mergeCell ref="E29:J29"/>
    <mergeCell ref="K38:N38"/>
    <mergeCell ref="K39:N39"/>
    <mergeCell ref="AE58:AH58"/>
    <mergeCell ref="K26:N26"/>
    <mergeCell ref="Q29:R29"/>
    <mergeCell ref="E34:J34"/>
    <mergeCell ref="K34:N34"/>
    <mergeCell ref="Q34:R34"/>
    <mergeCell ref="K33:N33"/>
    <mergeCell ref="Q33:R33"/>
    <mergeCell ref="K30:N30"/>
    <mergeCell ref="Q30:R30"/>
    <mergeCell ref="E33:J33"/>
    <mergeCell ref="K29:N29"/>
    <mergeCell ref="C78:R78"/>
    <mergeCell ref="C80:D80"/>
    <mergeCell ref="E80:F80"/>
    <mergeCell ref="C71:R71"/>
    <mergeCell ref="C72:R72"/>
    <mergeCell ref="C73:R73"/>
    <mergeCell ref="C74:R74"/>
    <mergeCell ref="E45:J45"/>
    <mergeCell ref="K45:N45"/>
    <mergeCell ref="Q45:R45"/>
    <mergeCell ref="A70:R70"/>
    <mergeCell ref="A64:R69"/>
    <mergeCell ref="E59:J59"/>
    <mergeCell ref="E58:J58"/>
    <mergeCell ref="E53:J53"/>
    <mergeCell ref="E55:J55"/>
    <mergeCell ref="J6:K6"/>
    <mergeCell ref="E25:J25"/>
    <mergeCell ref="K25:N25"/>
    <mergeCell ref="Q25:R25"/>
    <mergeCell ref="E24:J24"/>
    <mergeCell ref="K24:N24"/>
    <mergeCell ref="C75:R75"/>
    <mergeCell ref="C76:R76"/>
    <mergeCell ref="C77:R77"/>
    <mergeCell ref="Q24:R24"/>
    <mergeCell ref="K35:N35"/>
    <mergeCell ref="Q35:R35"/>
    <mergeCell ref="E36:J36"/>
    <mergeCell ref="K36:N36"/>
    <mergeCell ref="C17:D17"/>
    <mergeCell ref="Q48:R48"/>
    <mergeCell ref="E30:J30"/>
    <mergeCell ref="K17:N18"/>
    <mergeCell ref="O17:O18"/>
    <mergeCell ref="P17:P18"/>
    <mergeCell ref="Q42:R42"/>
    <mergeCell ref="E42:J42"/>
    <mergeCell ref="E26:J26"/>
    <mergeCell ref="Q26:R26"/>
    <mergeCell ref="S29:S38"/>
    <mergeCell ref="AF6:AG6"/>
    <mergeCell ref="C7:D7"/>
    <mergeCell ref="Y80:Z80"/>
    <mergeCell ref="E60:J60"/>
    <mergeCell ref="Q60:R60"/>
    <mergeCell ref="Y7:Z7"/>
    <mergeCell ref="E21:J21"/>
    <mergeCell ref="K21:N21"/>
    <mergeCell ref="E19:J19"/>
    <mergeCell ref="K19:N19"/>
    <mergeCell ref="Q19:R19"/>
    <mergeCell ref="E20:J20"/>
    <mergeCell ref="K20:N20"/>
    <mergeCell ref="Q20:R20"/>
    <mergeCell ref="Q21:R21"/>
    <mergeCell ref="E22:J22"/>
    <mergeCell ref="K22:N22"/>
    <mergeCell ref="Q22:R22"/>
    <mergeCell ref="S17:U18"/>
    <mergeCell ref="Q17:R18"/>
    <mergeCell ref="E17:J18"/>
    <mergeCell ref="AA80:AB80"/>
    <mergeCell ref="S55:U55"/>
  </mergeCells>
  <pageMargins left="0.70866141732283472" right="0.15748031496062992" top="0.51181102362204722" bottom="0.43307086614173229" header="0.27559055118110237" footer="0.27559055118110237"/>
  <pageSetup paperSize="9" scale="75" pageOrder="overThenDown" orientation="portrait" r:id="rId1"/>
  <headerFooter alignWithMargins="0">
    <oddHeader>&amp;LPIRS Vorlagen-Projekt&amp;C&amp;8Project: Template&amp;R&amp;G</oddHeader>
    <oddFooter xml:space="preserve">&amp;L&amp;8 &amp;F _&amp;A&amp;R&amp;8Page &amp;P+8 of [&amp;N+8]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B9DBF-2D44-4506-AF26-4BE724A1120D}">
  <sheetPr codeName="Tabelle25"/>
  <dimension ref="A1:AQ80"/>
  <sheetViews>
    <sheetView showWhiteSpace="0" view="pageLayout" zoomScaleNormal="100" workbookViewId="0">
      <selection activeCell="AL2" sqref="AL2:AL4"/>
    </sheetView>
  </sheetViews>
  <sheetFormatPr defaultColWidth="0" defaultRowHeight="12.75" x14ac:dyDescent="0.2"/>
  <cols>
    <col min="1" max="1" width="14.28515625" style="13" customWidth="1"/>
    <col min="2" max="2" width="3.5703125" style="13" customWidth="1"/>
    <col min="3" max="21" width="5.7109375" style="13" customWidth="1"/>
    <col min="22" max="22" width="4.140625" style="13" customWidth="1"/>
    <col min="23" max="23" width="6.140625" style="13" customWidth="1"/>
    <col min="24" max="43" width="5.7109375" style="13" customWidth="1"/>
    <col min="44" max="59" width="6.140625" style="13" customWidth="1"/>
    <col min="60" max="16384" width="0" style="13" hidden="1"/>
  </cols>
  <sheetData>
    <row r="1" spans="1:43" ht="13.15" customHeight="1" x14ac:dyDescent="0.2">
      <c r="A1" s="73"/>
      <c r="B1" s="72"/>
      <c r="C1" s="72"/>
      <c r="D1" s="71"/>
      <c r="E1" s="16"/>
      <c r="F1" s="16"/>
      <c r="G1" s="16"/>
      <c r="H1" s="16"/>
      <c r="I1" s="16"/>
      <c r="J1" s="16"/>
      <c r="K1" s="114" t="s">
        <v>253</v>
      </c>
      <c r="L1" s="116"/>
      <c r="M1" s="70"/>
      <c r="N1" s="16"/>
      <c r="O1" s="16"/>
      <c r="P1" s="16" t="s">
        <v>739</v>
      </c>
      <c r="Q1" s="69"/>
      <c r="R1" s="68" t="s">
        <v>230</v>
      </c>
      <c r="S1" s="68"/>
      <c r="T1" s="67" t="s">
        <v>342</v>
      </c>
      <c r="U1" s="66"/>
      <c r="V1" s="162"/>
      <c r="W1" s="16"/>
      <c r="X1" s="72"/>
      <c r="Y1" s="72"/>
      <c r="Z1" s="71"/>
      <c r="AA1" s="16"/>
      <c r="AB1" s="16"/>
      <c r="AC1" s="16"/>
      <c r="AD1" s="16"/>
      <c r="AE1" s="16"/>
      <c r="AF1" s="231"/>
      <c r="AG1" s="230" t="s">
        <v>253</v>
      </c>
      <c r="AH1" s="70"/>
      <c r="AI1" s="16"/>
      <c r="AJ1" s="16"/>
      <c r="AK1" s="16"/>
      <c r="AL1" s="68" t="str">
        <f>P1</f>
        <v>PT17</v>
      </c>
      <c r="AM1" s="69"/>
      <c r="AN1" s="68" t="s">
        <v>230</v>
      </c>
      <c r="AO1" s="68"/>
      <c r="AP1" s="67" t="str">
        <f>T1</f>
        <v>4E0 (1.5415)</v>
      </c>
      <c r="AQ1" s="66"/>
    </row>
    <row r="2" spans="1:43" ht="13.15" customHeight="1" x14ac:dyDescent="0.2">
      <c r="A2" s="63" t="s">
        <v>276</v>
      </c>
      <c r="B2" s="61"/>
      <c r="C2" s="62" t="s">
        <v>703</v>
      </c>
      <c r="D2" s="61"/>
      <c r="E2" s="60"/>
      <c r="F2" s="60"/>
      <c r="G2" s="60"/>
      <c r="H2" s="60"/>
      <c r="I2" s="60"/>
      <c r="J2" s="59"/>
      <c r="K2" s="100" t="s">
        <v>232</v>
      </c>
      <c r="L2" s="74"/>
      <c r="M2" s="81"/>
      <c r="N2" s="65"/>
      <c r="O2" s="65"/>
      <c r="P2" s="523">
        <v>29.5</v>
      </c>
      <c r="Q2" s="58" t="s">
        <v>231</v>
      </c>
      <c r="R2" s="65" t="s">
        <v>252</v>
      </c>
      <c r="S2" s="65"/>
      <c r="T2" s="81" t="s">
        <v>385</v>
      </c>
      <c r="U2" s="64"/>
      <c r="V2" s="19" t="s">
        <v>276</v>
      </c>
      <c r="W2" s="60"/>
      <c r="X2" s="61"/>
      <c r="Y2" s="62" t="str">
        <f>C2</f>
        <v>MP-Steam (T ≥ 300°C ÷ T ≤ 430°C)</v>
      </c>
      <c r="Z2" s="61"/>
      <c r="AA2" s="60"/>
      <c r="AB2" s="60"/>
      <c r="AC2" s="60"/>
      <c r="AD2" s="60"/>
      <c r="AE2" s="60"/>
      <c r="AF2" s="130"/>
      <c r="AG2" s="81" t="s">
        <v>232</v>
      </c>
      <c r="AH2" s="81"/>
      <c r="AI2" s="65"/>
      <c r="AJ2" s="65"/>
      <c r="AK2" s="65"/>
      <c r="AL2" s="523">
        <f>P2</f>
        <v>29.5</v>
      </c>
      <c r="AM2" s="58" t="s">
        <v>231</v>
      </c>
      <c r="AN2" s="65" t="s">
        <v>252</v>
      </c>
      <c r="AO2" s="65"/>
      <c r="AP2" s="81" t="str">
        <f>T2</f>
        <v>EN PN40</v>
      </c>
      <c r="AQ2" s="64"/>
    </row>
    <row r="3" spans="1:43" ht="13.15" customHeight="1" x14ac:dyDescent="0.2">
      <c r="A3" s="63"/>
      <c r="B3" s="61"/>
      <c r="C3" s="62"/>
      <c r="D3" s="61"/>
      <c r="E3" s="60"/>
      <c r="F3" s="60"/>
      <c r="G3" s="60"/>
      <c r="H3" s="60"/>
      <c r="I3" s="60"/>
      <c r="J3" s="59"/>
      <c r="K3" s="100" t="s">
        <v>233</v>
      </c>
      <c r="L3" s="75"/>
      <c r="M3" s="101"/>
      <c r="N3" s="65"/>
      <c r="O3" s="65"/>
      <c r="P3" s="523">
        <v>430</v>
      </c>
      <c r="Q3" s="58" t="s">
        <v>223</v>
      </c>
      <c r="R3" s="76" t="s">
        <v>229</v>
      </c>
      <c r="S3" s="77"/>
      <c r="T3" s="81" t="s">
        <v>227</v>
      </c>
      <c r="U3" s="57"/>
      <c r="V3" s="51"/>
      <c r="W3" s="80"/>
      <c r="X3" s="61"/>
      <c r="Y3" s="62"/>
      <c r="Z3" s="61"/>
      <c r="AA3" s="60"/>
      <c r="AB3" s="60"/>
      <c r="AC3" s="60"/>
      <c r="AD3" s="60"/>
      <c r="AE3" s="60"/>
      <c r="AF3" s="130"/>
      <c r="AG3" s="81" t="s">
        <v>233</v>
      </c>
      <c r="AH3" s="101"/>
      <c r="AI3" s="65"/>
      <c r="AJ3" s="65"/>
      <c r="AK3" s="65"/>
      <c r="AL3" s="523">
        <f>P3</f>
        <v>430</v>
      </c>
      <c r="AM3" s="58" t="s">
        <v>223</v>
      </c>
      <c r="AN3" s="76" t="s">
        <v>229</v>
      </c>
      <c r="AO3" s="77"/>
      <c r="AP3" s="81" t="str">
        <f>T3</f>
        <v>seamless</v>
      </c>
      <c r="AQ3" s="57"/>
    </row>
    <row r="4" spans="1:43" ht="13.15" customHeight="1" thickBot="1" x14ac:dyDescent="0.25">
      <c r="A4" s="56"/>
      <c r="B4" s="55"/>
      <c r="C4" s="55"/>
      <c r="D4" s="54"/>
      <c r="E4" s="53"/>
      <c r="F4" s="53"/>
      <c r="G4" s="53"/>
      <c r="H4" s="14"/>
      <c r="I4" s="14"/>
      <c r="J4" s="52"/>
      <c r="K4" s="60" t="s">
        <v>226</v>
      </c>
      <c r="L4" s="81"/>
      <c r="M4" s="102"/>
      <c r="N4" s="60"/>
      <c r="O4" s="60"/>
      <c r="P4" s="524">
        <v>65.5</v>
      </c>
      <c r="Q4" s="58" t="s">
        <v>235</v>
      </c>
      <c r="R4" s="82" t="s">
        <v>234</v>
      </c>
      <c r="S4" s="83"/>
      <c r="T4" s="113" t="s">
        <v>473</v>
      </c>
      <c r="U4" s="79"/>
      <c r="V4" s="119"/>
      <c r="W4" s="166"/>
      <c r="X4" s="55"/>
      <c r="Y4" s="55"/>
      <c r="Z4" s="54"/>
      <c r="AA4" s="53"/>
      <c r="AB4" s="53"/>
      <c r="AC4" s="53"/>
      <c r="AD4" s="14"/>
      <c r="AE4" s="14"/>
      <c r="AF4" s="232"/>
      <c r="AG4" s="60" t="s">
        <v>226</v>
      </c>
      <c r="AH4" s="102"/>
      <c r="AI4" s="60"/>
      <c r="AJ4" s="60"/>
      <c r="AK4" s="60"/>
      <c r="AL4" s="525">
        <f>P4</f>
        <v>65.5</v>
      </c>
      <c r="AM4" s="58" t="s">
        <v>235</v>
      </c>
      <c r="AN4" s="82" t="s">
        <v>234</v>
      </c>
      <c r="AO4" s="83"/>
      <c r="AP4" s="113" t="str">
        <f>T4</f>
        <v>EDFC</v>
      </c>
      <c r="AQ4" s="79"/>
    </row>
    <row r="5" spans="1:43" ht="13.15" customHeight="1" x14ac:dyDescent="0.2">
      <c r="A5" s="51" t="s">
        <v>225</v>
      </c>
      <c r="B5" s="80"/>
      <c r="C5" s="50" t="s">
        <v>224</v>
      </c>
      <c r="D5" s="49" t="s">
        <v>223</v>
      </c>
      <c r="E5" s="48"/>
      <c r="F5" s="47" t="s">
        <v>303</v>
      </c>
      <c r="G5" s="47">
        <v>100</v>
      </c>
      <c r="H5" s="47">
        <v>150</v>
      </c>
      <c r="I5" s="47">
        <v>200</v>
      </c>
      <c r="J5" s="104">
        <v>250</v>
      </c>
      <c r="K5" s="48">
        <v>300</v>
      </c>
      <c r="L5" s="104">
        <v>350</v>
      </c>
      <c r="M5" s="47">
        <v>400</v>
      </c>
      <c r="N5" s="197">
        <v>430</v>
      </c>
      <c r="O5" s="205">
        <v>450</v>
      </c>
      <c r="P5" s="104"/>
      <c r="Q5" s="47"/>
      <c r="R5" s="258"/>
      <c r="S5" s="47"/>
      <c r="T5" s="47"/>
      <c r="U5" s="220"/>
      <c r="V5" s="51" t="s">
        <v>225</v>
      </c>
      <c r="W5" s="80"/>
      <c r="X5" s="80"/>
      <c r="Y5" s="50" t="s">
        <v>224</v>
      </c>
      <c r="Z5" s="49" t="s">
        <v>223</v>
      </c>
      <c r="AA5" s="48"/>
      <c r="AB5" s="47" t="s">
        <v>303</v>
      </c>
      <c r="AC5" s="47">
        <v>100</v>
      </c>
      <c r="AD5" s="47">
        <v>150</v>
      </c>
      <c r="AE5" s="47">
        <v>200</v>
      </c>
      <c r="AF5" s="104">
        <v>250</v>
      </c>
      <c r="AG5" s="48">
        <v>300</v>
      </c>
      <c r="AH5" s="104">
        <v>350</v>
      </c>
      <c r="AI5" s="47">
        <v>400</v>
      </c>
      <c r="AJ5" s="197">
        <v>430</v>
      </c>
      <c r="AK5" s="205">
        <v>450</v>
      </c>
      <c r="AL5" s="104"/>
      <c r="AM5" s="47"/>
      <c r="AN5" s="258"/>
      <c r="AO5" s="47"/>
      <c r="AP5" s="104"/>
      <c r="AQ5" s="220"/>
    </row>
    <row r="6" spans="1:43" ht="20.25" customHeight="1" x14ac:dyDescent="0.2">
      <c r="A6" s="51"/>
      <c r="B6" s="80"/>
      <c r="C6" s="185" t="s">
        <v>285</v>
      </c>
      <c r="D6" s="186" t="s">
        <v>235</v>
      </c>
      <c r="E6" s="187" t="s">
        <v>502</v>
      </c>
      <c r="F6" s="218">
        <v>40</v>
      </c>
      <c r="G6" s="219">
        <v>40</v>
      </c>
      <c r="H6" s="218">
        <v>40</v>
      </c>
      <c r="I6" s="218">
        <v>40</v>
      </c>
      <c r="J6" s="382" t="s">
        <v>605</v>
      </c>
      <c r="K6" s="399" t="s">
        <v>606</v>
      </c>
      <c r="L6" s="398" t="s">
        <v>607</v>
      </c>
      <c r="M6" s="387" t="s">
        <v>608</v>
      </c>
      <c r="N6" s="393" t="s">
        <v>704</v>
      </c>
      <c r="O6" s="400" t="s">
        <v>584</v>
      </c>
      <c r="P6" s="686" t="s">
        <v>609</v>
      </c>
      <c r="Q6" s="687"/>
      <c r="R6" s="259"/>
      <c r="S6" s="221"/>
      <c r="T6" s="188"/>
      <c r="U6" s="222"/>
      <c r="V6" s="21"/>
      <c r="X6" s="80"/>
      <c r="Y6" s="185" t="s">
        <v>285</v>
      </c>
      <c r="Z6" s="186" t="s">
        <v>235</v>
      </c>
      <c r="AA6" s="187" t="s">
        <v>502</v>
      </c>
      <c r="AB6" s="218">
        <v>40</v>
      </c>
      <c r="AC6" s="219">
        <v>40</v>
      </c>
      <c r="AD6" s="218">
        <v>40</v>
      </c>
      <c r="AE6" s="218">
        <v>40</v>
      </c>
      <c r="AF6" s="382" t="s">
        <v>605</v>
      </c>
      <c r="AG6" s="399" t="s">
        <v>606</v>
      </c>
      <c r="AH6" s="398" t="s">
        <v>607</v>
      </c>
      <c r="AI6" s="387" t="s">
        <v>608</v>
      </c>
      <c r="AJ6" s="393" t="s">
        <v>704</v>
      </c>
      <c r="AK6" s="400" t="s">
        <v>584</v>
      </c>
      <c r="AL6" s="686" t="s">
        <v>609</v>
      </c>
      <c r="AM6" s="687"/>
      <c r="AN6" s="259"/>
      <c r="AO6" s="221"/>
      <c r="AP6" s="188"/>
      <c r="AQ6" s="222"/>
    </row>
    <row r="7" spans="1:43" ht="12.75" customHeight="1" thickBot="1" x14ac:dyDescent="0.25">
      <c r="A7" s="46"/>
      <c r="B7" s="120"/>
      <c r="C7" s="671" t="s">
        <v>284</v>
      </c>
      <c r="D7" s="672"/>
      <c r="E7" s="45"/>
      <c r="F7" s="212"/>
      <c r="G7" s="217"/>
      <c r="H7" s="217"/>
      <c r="I7" s="217"/>
      <c r="J7" s="217"/>
      <c r="K7" s="860" t="s">
        <v>286</v>
      </c>
      <c r="L7" s="734"/>
      <c r="M7" s="734"/>
      <c r="N7" s="672"/>
      <c r="O7" s="223" t="s">
        <v>287</v>
      </c>
      <c r="P7" s="213"/>
      <c r="Q7" s="213"/>
      <c r="R7" s="202"/>
      <c r="S7" s="217"/>
      <c r="T7" s="201"/>
      <c r="U7" s="106"/>
      <c r="V7" s="121"/>
      <c r="W7" s="143"/>
      <c r="X7" s="120"/>
      <c r="Y7" s="671" t="s">
        <v>284</v>
      </c>
      <c r="Z7" s="672"/>
      <c r="AA7" s="45"/>
      <c r="AB7" s="212"/>
      <c r="AC7" s="217"/>
      <c r="AD7" s="217"/>
      <c r="AE7" s="217"/>
      <c r="AF7" s="217"/>
      <c r="AG7" s="860" t="s">
        <v>286</v>
      </c>
      <c r="AH7" s="734"/>
      <c r="AI7" s="734"/>
      <c r="AJ7" s="672"/>
      <c r="AK7" s="223" t="s">
        <v>287</v>
      </c>
      <c r="AL7" s="213"/>
      <c r="AM7" s="213"/>
      <c r="AN7" s="202"/>
      <c r="AO7" s="217"/>
      <c r="AP7" s="201"/>
      <c r="AQ7" s="191"/>
    </row>
    <row r="8" spans="1:43" ht="13.15" customHeight="1" x14ac:dyDescent="0.2">
      <c r="A8" s="413" t="s">
        <v>633</v>
      </c>
      <c r="B8" s="158" t="s">
        <v>220</v>
      </c>
      <c r="C8" s="200">
        <v>15</v>
      </c>
      <c r="D8" s="38" t="s">
        <v>648</v>
      </c>
      <c r="E8" s="38">
        <v>25</v>
      </c>
      <c r="F8" s="38" t="s">
        <v>649</v>
      </c>
      <c r="G8" s="43">
        <v>40</v>
      </c>
      <c r="H8" s="43">
        <v>50</v>
      </c>
      <c r="I8" s="38" t="s">
        <v>299</v>
      </c>
      <c r="J8" s="43">
        <v>80</v>
      </c>
      <c r="K8" s="43">
        <v>100</v>
      </c>
      <c r="L8" s="43" t="s">
        <v>300</v>
      </c>
      <c r="M8" s="43">
        <v>150</v>
      </c>
      <c r="N8" s="43">
        <v>200</v>
      </c>
      <c r="O8" s="43">
        <v>250</v>
      </c>
      <c r="P8" s="43">
        <v>300</v>
      </c>
      <c r="Q8" s="43">
        <v>350</v>
      </c>
      <c r="R8" s="78">
        <v>400</v>
      </c>
      <c r="S8" s="38">
        <v>450</v>
      </c>
      <c r="T8" s="38">
        <v>500</v>
      </c>
      <c r="U8" s="37">
        <v>600</v>
      </c>
      <c r="V8" s="149"/>
      <c r="W8" s="167"/>
      <c r="X8" s="103"/>
      <c r="Y8" s="103"/>
      <c r="Z8" s="103"/>
      <c r="AA8" s="103"/>
      <c r="AB8" s="103"/>
      <c r="AC8" s="103"/>
      <c r="AD8" s="103"/>
      <c r="AE8" s="103"/>
      <c r="AF8" s="103"/>
      <c r="AG8" s="103"/>
      <c r="AH8" s="103"/>
      <c r="AI8" s="103"/>
      <c r="AJ8" s="103"/>
      <c r="AK8" s="103"/>
      <c r="AL8" s="103"/>
      <c r="AM8" s="103"/>
      <c r="AN8" s="103"/>
      <c r="AO8" s="103"/>
      <c r="AP8" s="103"/>
      <c r="AQ8" s="145"/>
    </row>
    <row r="9" spans="1:43" ht="13.15" customHeight="1" x14ac:dyDescent="0.2">
      <c r="A9" s="416" t="s">
        <v>634</v>
      </c>
      <c r="B9" s="293" t="s">
        <v>222</v>
      </c>
      <c r="C9" s="35">
        <v>21.3</v>
      </c>
      <c r="D9" s="42">
        <v>26.9</v>
      </c>
      <c r="E9" s="34">
        <v>33.700000000000003</v>
      </c>
      <c r="F9" s="34">
        <v>42.4</v>
      </c>
      <c r="G9" s="34">
        <v>48.3</v>
      </c>
      <c r="H9" s="34">
        <v>60.3</v>
      </c>
      <c r="I9" s="34">
        <v>76.099999999999994</v>
      </c>
      <c r="J9" s="34">
        <v>88.9</v>
      </c>
      <c r="K9" s="34">
        <v>114.3</v>
      </c>
      <c r="L9" s="34">
        <v>139.69999999999999</v>
      </c>
      <c r="M9" s="34">
        <v>168.3</v>
      </c>
      <c r="N9" s="34">
        <v>219.1</v>
      </c>
      <c r="O9" s="34">
        <v>273</v>
      </c>
      <c r="P9" s="34">
        <v>323.89999999999998</v>
      </c>
      <c r="Q9" s="34">
        <v>355.6</v>
      </c>
      <c r="R9" s="34">
        <v>406.4</v>
      </c>
      <c r="S9" s="861" t="s">
        <v>268</v>
      </c>
      <c r="T9" s="626"/>
      <c r="U9" s="862"/>
      <c r="V9" s="152"/>
      <c r="W9" s="168"/>
      <c r="AQ9" s="89"/>
    </row>
    <row r="10" spans="1:43" ht="13.15" customHeight="1" x14ac:dyDescent="0.2">
      <c r="A10" s="417" t="s">
        <v>635</v>
      </c>
      <c r="B10" s="294" t="s">
        <v>222</v>
      </c>
      <c r="C10" s="240">
        <v>2.6</v>
      </c>
      <c r="D10" s="33"/>
      <c r="E10" s="239">
        <v>2.6</v>
      </c>
      <c r="F10" s="239"/>
      <c r="G10" s="246">
        <v>2.6</v>
      </c>
      <c r="H10" s="246">
        <v>2.9</v>
      </c>
      <c r="I10" s="246"/>
      <c r="J10" s="246">
        <v>3.2</v>
      </c>
      <c r="K10" s="246">
        <v>3.6</v>
      </c>
      <c r="L10" s="246"/>
      <c r="M10" s="246">
        <v>4.5</v>
      </c>
      <c r="N10" s="246">
        <v>6.3</v>
      </c>
      <c r="O10" s="246">
        <v>6.3</v>
      </c>
      <c r="P10" s="246">
        <v>7.1</v>
      </c>
      <c r="Q10" s="246">
        <v>8</v>
      </c>
      <c r="R10" s="246">
        <v>8.8000000000000007</v>
      </c>
      <c r="S10" s="628"/>
      <c r="T10" s="586"/>
      <c r="U10" s="842"/>
      <c r="V10" s="152"/>
      <c r="W10" s="169"/>
      <c r="AQ10" s="89"/>
    </row>
    <row r="11" spans="1:43" ht="13.15" customHeight="1" x14ac:dyDescent="0.2">
      <c r="A11" s="84" t="s">
        <v>636</v>
      </c>
      <c r="B11" s="295" t="s">
        <v>236</v>
      </c>
      <c r="C11" s="736" t="s">
        <v>302</v>
      </c>
      <c r="D11" s="737"/>
      <c r="E11" s="737"/>
      <c r="F11" s="737"/>
      <c r="G11" s="737"/>
      <c r="H11" s="737"/>
      <c r="I11" s="737"/>
      <c r="J11" s="737"/>
      <c r="K11" s="737"/>
      <c r="L11" s="737"/>
      <c r="M11" s="737"/>
      <c r="N11" s="737"/>
      <c r="O11" s="737"/>
      <c r="P11" s="737"/>
      <c r="Q11" s="737"/>
      <c r="R11" s="808"/>
      <c r="S11" s="628"/>
      <c r="T11" s="586"/>
      <c r="U11" s="842"/>
      <c r="V11" s="152"/>
      <c r="W11" s="161"/>
      <c r="AQ11" s="89"/>
    </row>
    <row r="12" spans="1:43" ht="13.15" customHeight="1" thickBot="1" x14ac:dyDescent="0.25">
      <c r="A12" s="419" t="s">
        <v>637</v>
      </c>
      <c r="B12" s="296" t="s">
        <v>222</v>
      </c>
      <c r="C12" s="40">
        <f>C9-2*C10</f>
        <v>16.100000000000001</v>
      </c>
      <c r="D12" s="32"/>
      <c r="E12" s="39">
        <f>E9-2*E10</f>
        <v>28.500000000000004</v>
      </c>
      <c r="F12" s="39"/>
      <c r="G12" s="39">
        <f t="shared" ref="G12:R12" si="0">G9-2*G10</f>
        <v>43.099999999999994</v>
      </c>
      <c r="H12" s="39">
        <f t="shared" si="0"/>
        <v>54.5</v>
      </c>
      <c r="I12" s="39"/>
      <c r="J12" s="39">
        <f t="shared" si="0"/>
        <v>82.5</v>
      </c>
      <c r="K12" s="39">
        <f t="shared" si="0"/>
        <v>107.1</v>
      </c>
      <c r="L12" s="39"/>
      <c r="M12" s="39">
        <f t="shared" si="0"/>
        <v>159.30000000000001</v>
      </c>
      <c r="N12" s="39">
        <f t="shared" si="0"/>
        <v>206.5</v>
      </c>
      <c r="O12" s="39">
        <f t="shared" si="0"/>
        <v>260.39999999999998</v>
      </c>
      <c r="P12" s="39">
        <f t="shared" si="0"/>
        <v>309.7</v>
      </c>
      <c r="Q12" s="39">
        <f t="shared" si="0"/>
        <v>339.6</v>
      </c>
      <c r="R12" s="39">
        <f t="shared" si="0"/>
        <v>388.79999999999995</v>
      </c>
      <c r="S12" s="843"/>
      <c r="T12" s="844"/>
      <c r="U12" s="845"/>
      <c r="V12" s="152"/>
      <c r="W12" s="170"/>
      <c r="AQ12" s="89"/>
    </row>
    <row r="13" spans="1:43" ht="13.15" customHeight="1" x14ac:dyDescent="0.2">
      <c r="A13" s="413" t="s">
        <v>638</v>
      </c>
      <c r="B13" s="158" t="s">
        <v>220</v>
      </c>
      <c r="C13" s="200">
        <v>15</v>
      </c>
      <c r="D13" s="38" t="s">
        <v>648</v>
      </c>
      <c r="E13" s="38">
        <v>25</v>
      </c>
      <c r="F13" s="38" t="s">
        <v>649</v>
      </c>
      <c r="G13" s="43">
        <v>40</v>
      </c>
      <c r="H13" s="43">
        <v>50</v>
      </c>
      <c r="I13" s="38" t="s">
        <v>299</v>
      </c>
      <c r="J13" s="43">
        <v>80</v>
      </c>
      <c r="K13" s="43">
        <v>100</v>
      </c>
      <c r="L13" s="43" t="s">
        <v>300</v>
      </c>
      <c r="M13" s="43">
        <v>150</v>
      </c>
      <c r="N13" s="43">
        <v>200</v>
      </c>
      <c r="O13" s="43">
        <v>250</v>
      </c>
      <c r="P13" s="43">
        <v>300</v>
      </c>
      <c r="Q13" s="43">
        <v>350</v>
      </c>
      <c r="R13" s="78">
        <v>400</v>
      </c>
      <c r="S13" s="38">
        <v>450</v>
      </c>
      <c r="T13" s="38">
        <v>500</v>
      </c>
      <c r="U13" s="37">
        <v>600</v>
      </c>
      <c r="V13" s="154"/>
      <c r="W13" s="171"/>
      <c r="AQ13" s="89"/>
    </row>
    <row r="14" spans="1:43" ht="13.15" customHeight="1" x14ac:dyDescent="0.2">
      <c r="A14" s="416" t="s">
        <v>639</v>
      </c>
      <c r="B14" s="297" t="s">
        <v>222</v>
      </c>
      <c r="C14" s="35">
        <v>21.3</v>
      </c>
      <c r="D14" s="34">
        <v>26.9</v>
      </c>
      <c r="E14" s="34">
        <v>33.700000000000003</v>
      </c>
      <c r="F14" s="34">
        <v>42.4</v>
      </c>
      <c r="G14" s="34">
        <v>48.3</v>
      </c>
      <c r="H14" s="34">
        <v>60.3</v>
      </c>
      <c r="I14" s="34">
        <v>76.099999999999994</v>
      </c>
      <c r="J14" s="34">
        <v>88.9</v>
      </c>
      <c r="K14" s="34">
        <v>114.3</v>
      </c>
      <c r="L14" s="34">
        <v>139.69999999999999</v>
      </c>
      <c r="M14" s="34">
        <v>168.3</v>
      </c>
      <c r="N14" s="34">
        <v>219.1</v>
      </c>
      <c r="O14" s="34">
        <v>273</v>
      </c>
      <c r="P14" s="34">
        <v>323.89999999999998</v>
      </c>
      <c r="Q14" s="34">
        <v>355.6</v>
      </c>
      <c r="R14" s="34">
        <v>406.4</v>
      </c>
      <c r="S14" s="861" t="s">
        <v>268</v>
      </c>
      <c r="T14" s="626"/>
      <c r="U14" s="862"/>
      <c r="V14" s="152"/>
      <c r="W14" s="168"/>
      <c r="AQ14" s="89"/>
    </row>
    <row r="15" spans="1:43" ht="13.15" customHeight="1" x14ac:dyDescent="0.2">
      <c r="A15" s="417" t="s">
        <v>640</v>
      </c>
      <c r="B15" s="294" t="s">
        <v>222</v>
      </c>
      <c r="C15" s="238">
        <v>2.6</v>
      </c>
      <c r="D15" s="33"/>
      <c r="E15" s="239">
        <v>2.6</v>
      </c>
      <c r="F15" s="239"/>
      <c r="G15" s="246">
        <v>2.6</v>
      </c>
      <c r="H15" s="246">
        <v>2.9</v>
      </c>
      <c r="I15" s="246"/>
      <c r="J15" s="246">
        <v>3.2</v>
      </c>
      <c r="K15" s="246">
        <v>3.6</v>
      </c>
      <c r="L15" s="246"/>
      <c r="M15" s="246">
        <v>4.5</v>
      </c>
      <c r="N15" s="246">
        <v>6.3</v>
      </c>
      <c r="O15" s="246">
        <v>6.3</v>
      </c>
      <c r="P15" s="246">
        <v>7.1</v>
      </c>
      <c r="Q15" s="239">
        <v>8</v>
      </c>
      <c r="R15" s="239">
        <v>8.8000000000000007</v>
      </c>
      <c r="S15" s="628"/>
      <c r="T15" s="586"/>
      <c r="U15" s="842"/>
      <c r="V15" s="152"/>
      <c r="W15" s="169"/>
      <c r="AQ15" s="89"/>
    </row>
    <row r="16" spans="1:43" ht="13.15" customHeight="1" thickBot="1" x14ac:dyDescent="0.25">
      <c r="A16" s="419" t="s">
        <v>641</v>
      </c>
      <c r="B16" s="296" t="s">
        <v>222</v>
      </c>
      <c r="C16" s="317">
        <v>3</v>
      </c>
      <c r="D16" s="317"/>
      <c r="E16" s="317" t="s">
        <v>543</v>
      </c>
      <c r="F16" s="317"/>
      <c r="G16" s="317" t="s">
        <v>543</v>
      </c>
      <c r="H16" s="317" t="s">
        <v>543</v>
      </c>
      <c r="I16" s="317"/>
      <c r="J16" s="317">
        <v>2</v>
      </c>
      <c r="K16" s="317">
        <v>2</v>
      </c>
      <c r="L16" s="317"/>
      <c r="M16" s="317">
        <v>2</v>
      </c>
      <c r="N16" s="317">
        <v>2</v>
      </c>
      <c r="O16" s="317">
        <v>2</v>
      </c>
      <c r="P16" s="317">
        <v>2</v>
      </c>
      <c r="Q16" s="317">
        <v>2</v>
      </c>
      <c r="R16" s="317">
        <v>2</v>
      </c>
      <c r="S16" s="847"/>
      <c r="T16" s="848"/>
      <c r="U16" s="849"/>
      <c r="V16" s="21"/>
      <c r="AO16"/>
      <c r="AQ16" s="89"/>
    </row>
    <row r="17" spans="1:43" ht="13.15" customHeight="1" x14ac:dyDescent="0.2">
      <c r="A17" s="31" t="s">
        <v>221</v>
      </c>
      <c r="B17" s="422"/>
      <c r="C17" s="631" t="s">
        <v>220</v>
      </c>
      <c r="D17" s="632"/>
      <c r="E17" s="633" t="s">
        <v>197</v>
      </c>
      <c r="F17" s="634"/>
      <c r="G17" s="634"/>
      <c r="H17" s="634"/>
      <c r="I17" s="634"/>
      <c r="J17" s="634"/>
      <c r="K17" s="635" t="s">
        <v>241</v>
      </c>
      <c r="L17" s="634"/>
      <c r="M17" s="634"/>
      <c r="N17" s="636"/>
      <c r="O17" s="656" t="s">
        <v>243</v>
      </c>
      <c r="P17" s="656" t="s">
        <v>242</v>
      </c>
      <c r="Q17" s="637" t="s">
        <v>244</v>
      </c>
      <c r="R17" s="638"/>
      <c r="S17" s="633" t="s">
        <v>245</v>
      </c>
      <c r="T17" s="639"/>
      <c r="U17" s="640"/>
      <c r="V17" s="21"/>
      <c r="AO17"/>
      <c r="AQ17" s="89"/>
    </row>
    <row r="18" spans="1:43" ht="13.15" customHeight="1" x14ac:dyDescent="0.2">
      <c r="A18" s="20"/>
      <c r="B18" s="424"/>
      <c r="C18" s="30" t="s">
        <v>219</v>
      </c>
      <c r="D18" s="30" t="s">
        <v>218</v>
      </c>
      <c r="E18" s="554"/>
      <c r="F18" s="555"/>
      <c r="G18" s="555"/>
      <c r="H18" s="555"/>
      <c r="I18" s="555"/>
      <c r="J18" s="555"/>
      <c r="K18" s="558"/>
      <c r="L18" s="555"/>
      <c r="M18" s="555"/>
      <c r="N18" s="556"/>
      <c r="O18" s="555"/>
      <c r="P18" s="555"/>
      <c r="Q18" s="555"/>
      <c r="R18" s="555"/>
      <c r="S18" s="641"/>
      <c r="T18" s="642"/>
      <c r="U18" s="643"/>
      <c r="V18" s="172"/>
      <c r="W18" s="168"/>
      <c r="X18" s="659" t="s">
        <v>288</v>
      </c>
      <c r="Y18" s="670"/>
      <c r="Z18" s="670"/>
      <c r="AA18" s="670"/>
      <c r="AB18" s="670"/>
      <c r="AC18" s="670"/>
      <c r="AD18" s="670"/>
      <c r="AE18" s="670"/>
      <c r="AF18" s="670"/>
      <c r="AG18" s="670"/>
      <c r="AH18" s="670"/>
      <c r="AI18" s="670"/>
      <c r="AJ18" s="670"/>
      <c r="AK18" s="670"/>
      <c r="AL18" s="670"/>
      <c r="AM18" s="670"/>
      <c r="AN18" s="670"/>
      <c r="AO18" s="660"/>
      <c r="AP18" s="660"/>
      <c r="AQ18" s="89"/>
    </row>
    <row r="19" spans="1:43" ht="13.15" customHeight="1" x14ac:dyDescent="0.2">
      <c r="A19" s="19" t="s">
        <v>217</v>
      </c>
      <c r="B19" s="60"/>
      <c r="C19" s="24">
        <v>15</v>
      </c>
      <c r="D19" s="24">
        <v>50</v>
      </c>
      <c r="E19" s="561" t="s">
        <v>496</v>
      </c>
      <c r="F19" s="562"/>
      <c r="G19" s="562"/>
      <c r="H19" s="562"/>
      <c r="I19" s="562"/>
      <c r="J19" s="563"/>
      <c r="K19" s="564" t="s">
        <v>537</v>
      </c>
      <c r="L19" s="855"/>
      <c r="M19" s="855"/>
      <c r="N19" s="856"/>
      <c r="O19" s="97" t="s">
        <v>236</v>
      </c>
      <c r="P19" s="97" t="s">
        <v>485</v>
      </c>
      <c r="Q19" s="651" t="s">
        <v>304</v>
      </c>
      <c r="R19" s="626"/>
      <c r="S19" s="93"/>
      <c r="U19" s="89"/>
      <c r="V19" s="657" t="s">
        <v>274</v>
      </c>
      <c r="W19" s="1">
        <v>15</v>
      </c>
      <c r="X19" s="139" t="s">
        <v>406</v>
      </c>
      <c r="Y19" s="137"/>
      <c r="Z19" s="137"/>
      <c r="AA19" s="137"/>
      <c r="AB19" s="137"/>
      <c r="AC19" s="137"/>
      <c r="AD19" s="137"/>
      <c r="AE19" s="137"/>
      <c r="AF19" s="137"/>
      <c r="AG19" s="137"/>
      <c r="AH19" s="137"/>
      <c r="AI19" s="137"/>
      <c r="AJ19" s="137"/>
      <c r="AK19" s="137"/>
      <c r="AL19" s="138"/>
      <c r="AM19" s="138"/>
      <c r="AQ19" s="89"/>
    </row>
    <row r="20" spans="1:43" ht="13.15" customHeight="1" x14ac:dyDescent="0.2">
      <c r="A20" s="19"/>
      <c r="B20" s="60"/>
      <c r="C20" s="24">
        <v>65</v>
      </c>
      <c r="D20" s="24">
        <v>400</v>
      </c>
      <c r="E20" s="583" t="s">
        <v>497</v>
      </c>
      <c r="F20" s="549"/>
      <c r="G20" s="549"/>
      <c r="H20" s="549"/>
      <c r="I20" s="549"/>
      <c r="J20" s="550"/>
      <c r="K20" s="584" t="s">
        <v>537</v>
      </c>
      <c r="L20" s="857"/>
      <c r="M20" s="857"/>
      <c r="N20" s="858"/>
      <c r="O20" s="98" t="s">
        <v>236</v>
      </c>
      <c r="P20" s="98" t="s">
        <v>484</v>
      </c>
      <c r="Q20" s="652" t="s">
        <v>304</v>
      </c>
      <c r="R20" s="586"/>
      <c r="S20" s="93"/>
      <c r="U20" s="89"/>
      <c r="V20" s="824"/>
      <c r="W20" s="227" t="s">
        <v>642</v>
      </c>
      <c r="X20" s="139"/>
      <c r="Y20" s="139"/>
      <c r="Z20" s="501"/>
      <c r="AA20" s="137"/>
      <c r="AB20" s="137"/>
      <c r="AC20" s="137"/>
      <c r="AD20" s="137"/>
      <c r="AE20" s="137"/>
      <c r="AF20" s="137"/>
      <c r="AG20" s="137"/>
      <c r="AH20" s="137"/>
      <c r="AI20" s="137"/>
      <c r="AJ20" s="137"/>
      <c r="AK20" s="137"/>
      <c r="AL20" s="137"/>
      <c r="AM20" s="138"/>
      <c r="AN20" s="138"/>
      <c r="AO20"/>
      <c r="AQ20" s="89"/>
    </row>
    <row r="21" spans="1:43" ht="13.15" customHeight="1" x14ac:dyDescent="0.2">
      <c r="A21" s="19"/>
      <c r="B21" s="60"/>
      <c r="C21" s="24"/>
      <c r="D21" s="24"/>
      <c r="E21" s="583"/>
      <c r="F21" s="549"/>
      <c r="G21" s="549"/>
      <c r="H21" s="549"/>
      <c r="I21" s="549"/>
      <c r="J21" s="550"/>
      <c r="K21" s="584"/>
      <c r="L21" s="549"/>
      <c r="M21" s="549"/>
      <c r="N21" s="550"/>
      <c r="O21" s="98"/>
      <c r="P21" s="98"/>
      <c r="Q21" s="652"/>
      <c r="R21" s="586"/>
      <c r="S21" s="88"/>
      <c r="U21" s="89"/>
      <c r="V21" s="824"/>
      <c r="W21" s="118">
        <v>25</v>
      </c>
      <c r="X21" s="139" t="s">
        <v>406</v>
      </c>
      <c r="Y21" s="139"/>
      <c r="Z21" s="139" t="s">
        <v>413</v>
      </c>
      <c r="AA21" s="137"/>
      <c r="AB21" s="137"/>
      <c r="AC21" s="137"/>
      <c r="AD21" s="137"/>
      <c r="AE21" s="137"/>
      <c r="AF21" s="137"/>
      <c r="AG21" s="137"/>
      <c r="AH21" s="137"/>
      <c r="AI21" s="137"/>
      <c r="AJ21" s="137"/>
      <c r="AK21" s="137"/>
      <c r="AL21" s="137"/>
      <c r="AM21" s="138"/>
      <c r="AN21" s="138"/>
      <c r="AO21"/>
      <c r="AQ21" s="89"/>
    </row>
    <row r="22" spans="1:43" ht="13.15" customHeight="1" x14ac:dyDescent="0.2">
      <c r="A22" s="19"/>
      <c r="B22" s="60"/>
      <c r="C22" s="24"/>
      <c r="D22" s="24"/>
      <c r="E22" s="583"/>
      <c r="F22" s="549"/>
      <c r="G22" s="549"/>
      <c r="H22" s="549"/>
      <c r="I22" s="549"/>
      <c r="J22" s="550"/>
      <c r="K22" s="584"/>
      <c r="L22" s="549"/>
      <c r="M22" s="549"/>
      <c r="N22" s="550"/>
      <c r="O22" s="98"/>
      <c r="P22" s="98"/>
      <c r="Q22" s="652"/>
      <c r="R22" s="586"/>
      <c r="S22" s="88"/>
      <c r="U22" s="89"/>
      <c r="V22" s="824"/>
      <c r="W22" s="227" t="s">
        <v>643</v>
      </c>
      <c r="X22" s="139"/>
      <c r="Y22" s="139"/>
      <c r="Z22" s="139"/>
      <c r="AA22" s="139"/>
      <c r="AB22" s="501"/>
      <c r="AC22" s="137"/>
      <c r="AD22" s="137"/>
      <c r="AE22" s="137"/>
      <c r="AF22" s="137"/>
      <c r="AG22" s="137"/>
      <c r="AH22" s="137"/>
      <c r="AI22" s="137"/>
      <c r="AJ22" s="137"/>
      <c r="AK22" s="137"/>
      <c r="AL22" s="137"/>
      <c r="AM22" s="137"/>
      <c r="AN22" s="138"/>
      <c r="AO22" s="138"/>
      <c r="AP22"/>
      <c r="AQ22" s="89"/>
    </row>
    <row r="23" spans="1:43" ht="13.15" customHeight="1" x14ac:dyDescent="0.2">
      <c r="A23" s="19"/>
      <c r="B23" s="60"/>
      <c r="C23" s="24"/>
      <c r="D23" s="24"/>
      <c r="E23" s="155"/>
      <c r="F23" s="160"/>
      <c r="G23" s="160"/>
      <c r="H23" s="160"/>
      <c r="I23" s="160"/>
      <c r="J23" s="181"/>
      <c r="K23" s="182"/>
      <c r="L23" s="160"/>
      <c r="M23" s="160"/>
      <c r="N23" s="181"/>
      <c r="O23" s="98"/>
      <c r="P23" s="98"/>
      <c r="Q23" s="183"/>
      <c r="R23" s="161"/>
      <c r="S23" s="88"/>
      <c r="U23" s="89"/>
      <c r="V23" s="824"/>
      <c r="W23" s="118">
        <v>40</v>
      </c>
      <c r="X23" s="139" t="s">
        <v>406</v>
      </c>
      <c r="Y23" s="139"/>
      <c r="Z23" s="139" t="s">
        <v>413</v>
      </c>
      <c r="AA23" s="139"/>
      <c r="AB23" s="139" t="s">
        <v>413</v>
      </c>
      <c r="AC23" s="137"/>
      <c r="AD23" s="137"/>
      <c r="AE23" s="137"/>
      <c r="AF23" s="137"/>
      <c r="AG23" s="137"/>
      <c r="AH23" s="137"/>
      <c r="AI23" s="137"/>
      <c r="AJ23" s="137"/>
      <c r="AK23" s="137"/>
      <c r="AL23" s="137"/>
      <c r="AM23" s="137"/>
      <c r="AN23" s="138"/>
      <c r="AO23" s="138"/>
      <c r="AP23"/>
      <c r="AQ23" s="89"/>
    </row>
    <row r="24" spans="1:43" ht="13.15" customHeight="1" x14ac:dyDescent="0.2">
      <c r="A24" s="26" t="s">
        <v>298</v>
      </c>
      <c r="B24" s="435"/>
      <c r="C24" s="248">
        <v>15</v>
      </c>
      <c r="D24" s="250">
        <v>50</v>
      </c>
      <c r="E24" s="653" t="s">
        <v>495</v>
      </c>
      <c r="F24" s="654"/>
      <c r="G24" s="654"/>
      <c r="H24" s="654"/>
      <c r="I24" s="654"/>
      <c r="J24" s="655"/>
      <c r="K24" s="699" t="s">
        <v>537</v>
      </c>
      <c r="L24" s="654"/>
      <c r="M24" s="654"/>
      <c r="N24" s="655"/>
      <c r="O24" s="249" t="s">
        <v>236</v>
      </c>
      <c r="P24" s="249" t="s">
        <v>485</v>
      </c>
      <c r="Q24" s="697" t="s">
        <v>304</v>
      </c>
      <c r="R24" s="698"/>
      <c r="S24" s="109"/>
      <c r="T24" s="91"/>
      <c r="U24" s="92"/>
      <c r="V24" s="824"/>
      <c r="W24" s="1">
        <v>50</v>
      </c>
      <c r="X24" s="139" t="s">
        <v>694</v>
      </c>
      <c r="Y24" s="139"/>
      <c r="Z24" s="139" t="s">
        <v>413</v>
      </c>
      <c r="AA24" s="139"/>
      <c r="AB24" s="139" t="s">
        <v>413</v>
      </c>
      <c r="AC24" s="139" t="s">
        <v>406</v>
      </c>
      <c r="AD24" s="137"/>
      <c r="AE24" s="137"/>
      <c r="AF24" s="137"/>
      <c r="AG24" s="137"/>
      <c r="AH24" s="137"/>
      <c r="AI24" s="137"/>
      <c r="AJ24" s="137"/>
      <c r="AK24" s="137"/>
      <c r="AL24" s="137"/>
      <c r="AM24" s="137"/>
      <c r="AN24" s="138"/>
      <c r="AO24" s="138"/>
      <c r="AP24"/>
      <c r="AQ24" s="89"/>
    </row>
    <row r="25" spans="1:43" ht="13.15" customHeight="1" x14ac:dyDescent="0.2">
      <c r="A25" s="19" t="s">
        <v>297</v>
      </c>
      <c r="B25" s="60"/>
      <c r="C25" s="24">
        <v>15</v>
      </c>
      <c r="D25" s="23">
        <v>400</v>
      </c>
      <c r="E25" s="644" t="s">
        <v>503</v>
      </c>
      <c r="F25" s="645"/>
      <c r="G25" s="645"/>
      <c r="H25" s="645"/>
      <c r="I25" s="645"/>
      <c r="J25" s="646"/>
      <c r="K25" s="700" t="s">
        <v>677</v>
      </c>
      <c r="L25" s="645"/>
      <c r="M25" s="645"/>
      <c r="N25" s="646"/>
      <c r="O25" s="98" t="s">
        <v>236</v>
      </c>
      <c r="P25" s="98" t="s">
        <v>246</v>
      </c>
      <c r="Q25" s="647" t="s">
        <v>306</v>
      </c>
      <c r="R25" s="648"/>
      <c r="S25" s="93"/>
      <c r="U25" s="89"/>
      <c r="V25" s="824"/>
      <c r="W25" s="227" t="s">
        <v>295</v>
      </c>
      <c r="X25" s="139"/>
      <c r="Y25" s="139"/>
      <c r="Z25" s="139"/>
      <c r="AA25" s="139"/>
      <c r="AB25" s="139"/>
      <c r="AC25" s="139"/>
      <c r="AD25" s="139"/>
      <c r="AE25" s="147"/>
      <c r="AF25" s="137"/>
      <c r="AG25" s="137"/>
      <c r="AH25" s="137"/>
      <c r="AI25" s="137"/>
      <c r="AJ25" s="137"/>
      <c r="AK25" s="137"/>
      <c r="AL25" s="137"/>
      <c r="AM25" s="137"/>
      <c r="AN25" s="137"/>
      <c r="AO25" s="138"/>
      <c r="AP25" s="138"/>
      <c r="AQ25" s="89"/>
    </row>
    <row r="26" spans="1:43" ht="13.15" customHeight="1" x14ac:dyDescent="0.2">
      <c r="A26" s="19"/>
      <c r="B26" s="60"/>
      <c r="C26" s="24"/>
      <c r="D26" s="23"/>
      <c r="E26" s="155"/>
      <c r="F26" s="160"/>
      <c r="G26" s="160"/>
      <c r="H26" s="160"/>
      <c r="I26" s="160"/>
      <c r="J26" s="181"/>
      <c r="K26" s="182"/>
      <c r="L26" s="160"/>
      <c r="M26" s="160"/>
      <c r="N26" s="181"/>
      <c r="O26" s="98"/>
      <c r="P26" s="98"/>
      <c r="Q26" s="183"/>
      <c r="R26" s="161"/>
      <c r="S26" s="88"/>
      <c r="U26" s="89"/>
      <c r="V26" s="824"/>
      <c r="W26" s="1">
        <v>80</v>
      </c>
      <c r="X26" s="139" t="s">
        <v>694</v>
      </c>
      <c r="Y26" s="139"/>
      <c r="Z26" s="139" t="s">
        <v>401</v>
      </c>
      <c r="AA26" s="139"/>
      <c r="AB26" s="139" t="s">
        <v>407</v>
      </c>
      <c r="AC26" s="139" t="s">
        <v>407</v>
      </c>
      <c r="AD26" s="139"/>
      <c r="AE26" s="139" t="s">
        <v>407</v>
      </c>
      <c r="AF26" s="137"/>
      <c r="AG26" s="137"/>
      <c r="AH26" s="137"/>
      <c r="AI26" s="137"/>
      <c r="AJ26" s="137"/>
      <c r="AK26" s="137"/>
      <c r="AL26" s="137"/>
      <c r="AM26" s="137"/>
      <c r="AN26" s="137"/>
      <c r="AO26" s="138"/>
      <c r="AP26" s="138"/>
      <c r="AQ26" s="89"/>
    </row>
    <row r="27" spans="1:43" ht="13.15" customHeight="1" x14ac:dyDescent="0.2">
      <c r="A27" s="19"/>
      <c r="B27" s="60"/>
      <c r="C27" s="24"/>
      <c r="D27" s="23"/>
      <c r="E27" s="155"/>
      <c r="F27" s="160"/>
      <c r="G27" s="160"/>
      <c r="H27" s="160"/>
      <c r="I27" s="160"/>
      <c r="J27" s="181"/>
      <c r="K27" s="182"/>
      <c r="L27" s="160"/>
      <c r="M27" s="160"/>
      <c r="N27" s="181"/>
      <c r="O27" s="98"/>
      <c r="P27" s="98"/>
      <c r="Q27" s="183"/>
      <c r="R27" s="161"/>
      <c r="S27" s="93"/>
      <c r="U27" s="89"/>
      <c r="V27" s="824"/>
      <c r="W27" s="1">
        <v>100</v>
      </c>
      <c r="X27" s="139" t="s">
        <v>410</v>
      </c>
      <c r="Y27" s="139"/>
      <c r="Z27" s="139" t="s">
        <v>401</v>
      </c>
      <c r="AA27" s="139"/>
      <c r="AB27" s="139" t="s">
        <v>407</v>
      </c>
      <c r="AC27" s="139" t="s">
        <v>407</v>
      </c>
      <c r="AD27" s="139"/>
      <c r="AE27" s="139" t="s">
        <v>407</v>
      </c>
      <c r="AF27" s="139" t="s">
        <v>407</v>
      </c>
      <c r="AG27" s="137"/>
      <c r="AH27" s="137"/>
      <c r="AI27" s="137"/>
      <c r="AJ27" s="137"/>
      <c r="AK27" s="137"/>
      <c r="AL27" s="137"/>
      <c r="AM27" s="137"/>
      <c r="AN27" s="137"/>
      <c r="AO27" s="138"/>
      <c r="AP27" s="138"/>
      <c r="AQ27" s="89"/>
    </row>
    <row r="28" spans="1:43" ht="13.15" customHeight="1" x14ac:dyDescent="0.2">
      <c r="A28" s="20"/>
      <c r="B28" s="424"/>
      <c r="C28" s="28"/>
      <c r="D28" s="27"/>
      <c r="E28" s="320"/>
      <c r="F28" s="124"/>
      <c r="G28" s="124"/>
      <c r="H28" s="124"/>
      <c r="I28" s="124"/>
      <c r="J28" s="354"/>
      <c r="K28" s="321"/>
      <c r="L28" s="124"/>
      <c r="M28" s="124"/>
      <c r="N28" s="354"/>
      <c r="O28" s="110"/>
      <c r="P28" s="110"/>
      <c r="Q28" s="80"/>
      <c r="R28" s="80"/>
      <c r="S28" s="94"/>
      <c r="T28" s="95"/>
      <c r="U28" s="96"/>
      <c r="V28" s="824"/>
      <c r="W28" s="227" t="s">
        <v>296</v>
      </c>
      <c r="X28" s="139"/>
      <c r="Y28" s="139"/>
      <c r="Z28" s="139"/>
      <c r="AA28" s="139"/>
      <c r="AB28" s="139"/>
      <c r="AC28" s="139"/>
      <c r="AD28" s="139"/>
      <c r="AE28" s="139"/>
      <c r="AF28" s="139"/>
      <c r="AG28" s="139"/>
      <c r="AH28" s="137"/>
      <c r="AI28" s="137"/>
      <c r="AJ28" s="137"/>
      <c r="AK28" s="137"/>
      <c r="AL28" s="137"/>
      <c r="AM28" s="137"/>
      <c r="AN28" s="137"/>
      <c r="AO28" s="138"/>
      <c r="AP28" s="138"/>
      <c r="AQ28" s="89"/>
    </row>
    <row r="29" spans="1:43" ht="13.15" customHeight="1" x14ac:dyDescent="0.2">
      <c r="A29" s="19" t="s">
        <v>249</v>
      </c>
      <c r="B29" s="60"/>
      <c r="C29" s="24">
        <v>15</v>
      </c>
      <c r="D29" s="24">
        <v>65</v>
      </c>
      <c r="E29" s="561" t="s">
        <v>271</v>
      </c>
      <c r="F29" s="562"/>
      <c r="G29" s="562"/>
      <c r="H29" s="562"/>
      <c r="I29" s="562"/>
      <c r="J29" s="563"/>
      <c r="K29" s="564" t="s">
        <v>677</v>
      </c>
      <c r="L29" s="562"/>
      <c r="M29" s="562"/>
      <c r="N29" s="563"/>
      <c r="O29" s="97" t="s">
        <v>236</v>
      </c>
      <c r="P29" s="97" t="s">
        <v>246</v>
      </c>
      <c r="Q29" s="565" t="s">
        <v>306</v>
      </c>
      <c r="R29" s="576"/>
      <c r="S29" s="694" t="s">
        <v>548</v>
      </c>
      <c r="T29" s="91"/>
      <c r="U29" s="92"/>
      <c r="V29" s="824"/>
      <c r="W29" s="1">
        <v>150</v>
      </c>
      <c r="X29" s="139" t="s">
        <v>410</v>
      </c>
      <c r="Y29" s="139"/>
      <c r="Z29" s="139" t="s">
        <v>401</v>
      </c>
      <c r="AA29" s="139"/>
      <c r="AB29" s="139" t="s">
        <v>443</v>
      </c>
      <c r="AC29" s="142" t="s">
        <v>546</v>
      </c>
      <c r="AD29" s="139"/>
      <c r="AE29" s="139" t="s">
        <v>407</v>
      </c>
      <c r="AF29" s="139" t="s">
        <v>407</v>
      </c>
      <c r="AG29" s="139"/>
      <c r="AH29" s="139" t="s">
        <v>407</v>
      </c>
      <c r="AI29" s="137"/>
      <c r="AJ29" s="137"/>
      <c r="AK29" s="137"/>
      <c r="AL29" s="137"/>
      <c r="AM29" s="137"/>
      <c r="AN29" s="137"/>
      <c r="AO29" s="138"/>
      <c r="AP29" s="138"/>
      <c r="AQ29" s="89"/>
    </row>
    <row r="30" spans="1:43" ht="13.15" customHeight="1" x14ac:dyDescent="0.2">
      <c r="A30" s="19" t="s">
        <v>250</v>
      </c>
      <c r="B30" s="60"/>
      <c r="C30" s="24">
        <v>80</v>
      </c>
      <c r="D30" s="24">
        <v>400</v>
      </c>
      <c r="E30" s="583" t="s">
        <v>271</v>
      </c>
      <c r="F30" s="549"/>
      <c r="G30" s="549"/>
      <c r="H30" s="549"/>
      <c r="I30" s="549"/>
      <c r="J30" s="550"/>
      <c r="K30" s="584" t="s">
        <v>677</v>
      </c>
      <c r="L30" s="549"/>
      <c r="M30" s="549"/>
      <c r="N30" s="550"/>
      <c r="O30" s="98" t="s">
        <v>236</v>
      </c>
      <c r="P30" s="98" t="s">
        <v>246</v>
      </c>
      <c r="Q30" s="585" t="s">
        <v>307</v>
      </c>
      <c r="R30" s="545"/>
      <c r="S30" s="853"/>
      <c r="U30" s="89"/>
      <c r="V30" s="824"/>
      <c r="W30" s="1">
        <v>200</v>
      </c>
      <c r="X30" s="139" t="s">
        <v>410</v>
      </c>
      <c r="Y30" s="139"/>
      <c r="Z30" s="139" t="s">
        <v>401</v>
      </c>
      <c r="AA30" s="139"/>
      <c r="AB30" s="139" t="s">
        <v>443</v>
      </c>
      <c r="AC30" s="142" t="s">
        <v>628</v>
      </c>
      <c r="AD30" s="139"/>
      <c r="AE30" s="139" t="s">
        <v>407</v>
      </c>
      <c r="AF30" s="139" t="s">
        <v>407</v>
      </c>
      <c r="AG30" s="139"/>
      <c r="AH30" s="139" t="s">
        <v>407</v>
      </c>
      <c r="AI30" s="139" t="s">
        <v>407</v>
      </c>
      <c r="AJ30" s="137"/>
      <c r="AK30" s="137"/>
      <c r="AL30" s="137"/>
      <c r="AM30" s="137"/>
      <c r="AN30" s="137"/>
      <c r="AO30" s="138"/>
      <c r="AP30" s="138"/>
      <c r="AQ30" s="89"/>
    </row>
    <row r="31" spans="1:43" ht="13.15" customHeight="1" x14ac:dyDescent="0.2">
      <c r="A31" s="19"/>
      <c r="B31" s="60"/>
      <c r="C31" s="210" t="s">
        <v>236</v>
      </c>
      <c r="D31" s="210" t="s">
        <v>236</v>
      </c>
      <c r="E31" s="583" t="s">
        <v>325</v>
      </c>
      <c r="F31" s="549"/>
      <c r="G31" s="549"/>
      <c r="H31" s="549"/>
      <c r="I31" s="549"/>
      <c r="J31" s="550"/>
      <c r="K31" s="584" t="s">
        <v>537</v>
      </c>
      <c r="L31" s="549"/>
      <c r="M31" s="549"/>
      <c r="N31" s="550"/>
      <c r="O31" s="98" t="s">
        <v>236</v>
      </c>
      <c r="P31" s="98" t="s">
        <v>246</v>
      </c>
      <c r="Q31" s="585" t="s">
        <v>347</v>
      </c>
      <c r="R31" s="545"/>
      <c r="S31" s="853"/>
      <c r="U31" s="89"/>
      <c r="V31" s="824"/>
      <c r="W31" s="1">
        <v>250</v>
      </c>
      <c r="X31" s="139" t="s">
        <v>410</v>
      </c>
      <c r="Y31" s="139"/>
      <c r="Z31" s="139" t="s">
        <v>401</v>
      </c>
      <c r="AA31" s="139"/>
      <c r="AB31" s="139" t="s">
        <v>420</v>
      </c>
      <c r="AC31" s="142" t="s">
        <v>682</v>
      </c>
      <c r="AD31" s="139"/>
      <c r="AE31" s="142" t="s">
        <v>682</v>
      </c>
      <c r="AF31" s="139" t="s">
        <v>407</v>
      </c>
      <c r="AG31" s="139"/>
      <c r="AH31" s="139" t="s">
        <v>407</v>
      </c>
      <c r="AI31" s="139" t="s">
        <v>407</v>
      </c>
      <c r="AJ31" s="139" t="s">
        <v>407</v>
      </c>
      <c r="AK31" s="137"/>
      <c r="AL31" s="137"/>
      <c r="AM31" s="137"/>
      <c r="AN31" s="137"/>
      <c r="AO31" s="138"/>
      <c r="AP31" s="138"/>
      <c r="AQ31" s="89"/>
    </row>
    <row r="32" spans="1:43" ht="13.15" customHeight="1" x14ac:dyDescent="0.2">
      <c r="A32" s="19"/>
      <c r="B32" s="60"/>
      <c r="C32" s="210"/>
      <c r="D32" s="210"/>
      <c r="E32" s="155"/>
      <c r="F32" s="160"/>
      <c r="G32" s="160"/>
      <c r="H32" s="160"/>
      <c r="I32" s="160"/>
      <c r="J32" s="181"/>
      <c r="K32" s="182"/>
      <c r="L32" s="160"/>
      <c r="M32" s="160"/>
      <c r="N32" s="181"/>
      <c r="O32" s="98"/>
      <c r="P32" s="98"/>
      <c r="Q32" s="347"/>
      <c r="R32" s="348"/>
      <c r="S32" s="853"/>
      <c r="U32" s="89"/>
      <c r="V32" s="824"/>
      <c r="W32" s="1">
        <v>300</v>
      </c>
      <c r="X32" s="139" t="s">
        <v>410</v>
      </c>
      <c r="Y32" s="139"/>
      <c r="Z32" s="139" t="s">
        <v>545</v>
      </c>
      <c r="AA32" s="139"/>
      <c r="AB32" s="139" t="s">
        <v>420</v>
      </c>
      <c r="AC32" s="139" t="s">
        <v>404</v>
      </c>
      <c r="AD32" s="139"/>
      <c r="AE32" s="142" t="s">
        <v>519</v>
      </c>
      <c r="AF32" s="142" t="s">
        <v>519</v>
      </c>
      <c r="AG32" s="139"/>
      <c r="AH32" s="139" t="s">
        <v>407</v>
      </c>
      <c r="AI32" s="139" t="s">
        <v>407</v>
      </c>
      <c r="AJ32" s="139" t="s">
        <v>407</v>
      </c>
      <c r="AK32" s="139" t="s">
        <v>407</v>
      </c>
      <c r="AL32" s="137"/>
      <c r="AM32" s="137"/>
      <c r="AN32" s="137"/>
      <c r="AO32" s="138"/>
      <c r="AP32" s="138"/>
      <c r="AQ32" s="89"/>
    </row>
    <row r="33" spans="1:43" ht="13.15" customHeight="1" x14ac:dyDescent="0.2">
      <c r="A33" s="19" t="s">
        <v>256</v>
      </c>
      <c r="B33" s="60"/>
      <c r="C33" s="24">
        <v>100</v>
      </c>
      <c r="D33" s="24">
        <v>400</v>
      </c>
      <c r="E33" s="583" t="s">
        <v>528</v>
      </c>
      <c r="F33" s="549"/>
      <c r="G33" s="549"/>
      <c r="H33" s="549"/>
      <c r="I33" s="549"/>
      <c r="J33" s="550"/>
      <c r="K33" s="584" t="s">
        <v>331</v>
      </c>
      <c r="L33" s="549"/>
      <c r="M33" s="549"/>
      <c r="N33" s="550"/>
      <c r="O33" s="98" t="s">
        <v>236</v>
      </c>
      <c r="P33" s="98" t="s">
        <v>328</v>
      </c>
      <c r="Q33" s="585" t="s">
        <v>332</v>
      </c>
      <c r="R33" s="545"/>
      <c r="S33" s="853"/>
      <c r="U33" s="89"/>
      <c r="V33" s="824"/>
      <c r="W33" s="1">
        <v>350</v>
      </c>
      <c r="X33" s="139" t="s">
        <v>410</v>
      </c>
      <c r="Y33" s="139"/>
      <c r="Z33" s="139" t="s">
        <v>545</v>
      </c>
      <c r="AA33" s="139"/>
      <c r="AB33" s="139" t="s">
        <v>420</v>
      </c>
      <c r="AC33" s="139" t="s">
        <v>404</v>
      </c>
      <c r="AD33" s="139"/>
      <c r="AE33" s="142" t="s">
        <v>521</v>
      </c>
      <c r="AF33" s="142" t="s">
        <v>521</v>
      </c>
      <c r="AG33" s="139"/>
      <c r="AH33" s="139" t="s">
        <v>407</v>
      </c>
      <c r="AI33" s="139" t="s">
        <v>407</v>
      </c>
      <c r="AJ33" s="139" t="s">
        <v>407</v>
      </c>
      <c r="AK33" s="139" t="s">
        <v>407</v>
      </c>
      <c r="AL33" s="139" t="s">
        <v>407</v>
      </c>
      <c r="AM33" s="137"/>
      <c r="AN33" s="137"/>
      <c r="AO33" s="138"/>
      <c r="AP33" s="138"/>
      <c r="AQ33" s="89"/>
    </row>
    <row r="34" spans="1:43" ht="13.15" customHeight="1" x14ac:dyDescent="0.2">
      <c r="A34" s="19"/>
      <c r="B34" s="60"/>
      <c r="C34" s="24"/>
      <c r="D34" s="24"/>
      <c r="E34" s="583" t="s">
        <v>530</v>
      </c>
      <c r="F34" s="549"/>
      <c r="G34" s="549"/>
      <c r="H34" s="549"/>
      <c r="I34" s="549"/>
      <c r="J34" s="550"/>
      <c r="K34" s="584">
        <v>1.5415000000000001</v>
      </c>
      <c r="L34" s="549"/>
      <c r="M34" s="549"/>
      <c r="N34" s="550"/>
      <c r="O34" s="165" t="s">
        <v>236</v>
      </c>
      <c r="P34" s="98" t="s">
        <v>257</v>
      </c>
      <c r="Q34" s="585" t="s">
        <v>721</v>
      </c>
      <c r="R34" s="545"/>
      <c r="S34" s="853"/>
      <c r="U34" s="89"/>
      <c r="V34" s="824"/>
      <c r="W34" s="1">
        <v>400</v>
      </c>
      <c r="X34" s="139" t="s">
        <v>410</v>
      </c>
      <c r="Y34" s="139"/>
      <c r="Z34" s="139" t="s">
        <v>545</v>
      </c>
      <c r="AA34" s="141"/>
      <c r="AB34" s="141" t="s">
        <v>420</v>
      </c>
      <c r="AC34" s="141" t="s">
        <v>404</v>
      </c>
      <c r="AD34" s="139"/>
      <c r="AE34" s="142" t="s">
        <v>523</v>
      </c>
      <c r="AF34" s="142" t="s">
        <v>523</v>
      </c>
      <c r="AG34" s="141"/>
      <c r="AH34" s="139" t="s">
        <v>407</v>
      </c>
      <c r="AI34" s="139" t="s">
        <v>407</v>
      </c>
      <c r="AJ34" s="139" t="s">
        <v>407</v>
      </c>
      <c r="AK34" s="139" t="s">
        <v>407</v>
      </c>
      <c r="AL34" s="139" t="s">
        <v>407</v>
      </c>
      <c r="AM34" s="139" t="s">
        <v>407</v>
      </c>
      <c r="AN34" s="137"/>
      <c r="AO34" s="138"/>
      <c r="AP34" s="138"/>
      <c r="AQ34" s="89"/>
    </row>
    <row r="35" spans="1:43" ht="13.15" customHeight="1" x14ac:dyDescent="0.2">
      <c r="A35" s="19"/>
      <c r="B35" s="60"/>
      <c r="C35" s="24"/>
      <c r="D35" s="24"/>
      <c r="E35" s="583" t="s">
        <v>327</v>
      </c>
      <c r="F35" s="549"/>
      <c r="G35" s="549"/>
      <c r="H35" s="549"/>
      <c r="I35" s="549"/>
      <c r="J35" s="550"/>
      <c r="K35" s="584" t="s">
        <v>330</v>
      </c>
      <c r="L35" s="549"/>
      <c r="M35" s="549"/>
      <c r="N35" s="550"/>
      <c r="O35" s="98" t="s">
        <v>236</v>
      </c>
      <c r="P35" s="98" t="s">
        <v>257</v>
      </c>
      <c r="Q35" s="585" t="s">
        <v>329</v>
      </c>
      <c r="R35" s="545"/>
      <c r="S35" s="853"/>
      <c r="U35" s="89"/>
      <c r="V35" s="824"/>
      <c r="W35" s="1">
        <v>450</v>
      </c>
      <c r="X35" s="141"/>
      <c r="Y35" s="142"/>
      <c r="Z35" s="142"/>
      <c r="AA35" s="140"/>
      <c r="AB35" s="140"/>
      <c r="AC35" s="140"/>
      <c r="AD35" s="140"/>
      <c r="AE35" s="140"/>
      <c r="AF35" s="140"/>
      <c r="AG35" s="140"/>
      <c r="AH35" s="140"/>
      <c r="AI35" s="140"/>
      <c r="AJ35" s="141"/>
      <c r="AK35" s="140"/>
      <c r="AL35" s="141"/>
      <c r="AM35" s="141"/>
      <c r="AN35" s="141"/>
      <c r="AO35" s="138"/>
      <c r="AP35" s="138"/>
      <c r="AQ35" s="89"/>
    </row>
    <row r="36" spans="1:43" ht="13.15" customHeight="1" x14ac:dyDescent="0.2">
      <c r="A36" s="19" t="s">
        <v>258</v>
      </c>
      <c r="B36" s="60"/>
      <c r="C36" s="24">
        <v>15</v>
      </c>
      <c r="D36" s="24">
        <v>40</v>
      </c>
      <c r="E36" s="583" t="s">
        <v>271</v>
      </c>
      <c r="F36" s="549"/>
      <c r="G36" s="549"/>
      <c r="H36" s="549"/>
      <c r="I36" s="549"/>
      <c r="J36" s="550"/>
      <c r="K36" s="584" t="s">
        <v>677</v>
      </c>
      <c r="L36" s="549"/>
      <c r="M36" s="549"/>
      <c r="N36" s="550"/>
      <c r="O36" s="98" t="s">
        <v>236</v>
      </c>
      <c r="P36" s="98" t="s">
        <v>246</v>
      </c>
      <c r="Q36" s="585" t="s">
        <v>306</v>
      </c>
      <c r="R36" s="545"/>
      <c r="S36" s="853"/>
      <c r="U36" s="89"/>
      <c r="V36" s="658"/>
      <c r="W36" s="1">
        <v>500</v>
      </c>
      <c r="X36" s="136"/>
      <c r="Y36" s="142"/>
      <c r="Z36" s="142"/>
      <c r="AA36" s="136"/>
      <c r="AB36" s="136"/>
      <c r="AC36" s="136"/>
      <c r="AD36" s="136"/>
      <c r="AE36" s="136"/>
      <c r="AF36" s="136"/>
      <c r="AG36" s="136"/>
      <c r="AH36" s="136"/>
      <c r="AI36" s="136"/>
      <c r="AJ36" s="139"/>
      <c r="AK36" s="136"/>
      <c r="AL36" s="136"/>
      <c r="AM36" s="136"/>
      <c r="AN36" s="136"/>
      <c r="AO36" s="136"/>
      <c r="AP36" s="138"/>
      <c r="AQ36" s="89"/>
    </row>
    <row r="37" spans="1:43" ht="13.15" customHeight="1" x14ac:dyDescent="0.2">
      <c r="A37" s="19"/>
      <c r="B37" s="60"/>
      <c r="C37" s="24">
        <v>50</v>
      </c>
      <c r="D37" s="24">
        <v>400</v>
      </c>
      <c r="E37" s="583" t="s">
        <v>378</v>
      </c>
      <c r="F37" s="549"/>
      <c r="G37" s="549"/>
      <c r="H37" s="549"/>
      <c r="I37" s="549"/>
      <c r="J37" s="550"/>
      <c r="K37" s="584" t="s">
        <v>351</v>
      </c>
      <c r="L37" s="549"/>
      <c r="M37" s="549"/>
      <c r="N37" s="550"/>
      <c r="O37" s="98" t="s">
        <v>236</v>
      </c>
      <c r="P37" s="98" t="s">
        <v>328</v>
      </c>
      <c r="Q37" s="585" t="s">
        <v>332</v>
      </c>
      <c r="R37" s="545"/>
      <c r="S37" s="853"/>
      <c r="U37" s="89"/>
      <c r="V37" s="658"/>
      <c r="W37" s="1">
        <v>600</v>
      </c>
      <c r="X37" s="136"/>
      <c r="Y37" s="142"/>
      <c r="Z37" s="142"/>
      <c r="AA37" s="136"/>
      <c r="AB37" s="136"/>
      <c r="AC37" s="136"/>
      <c r="AD37" s="136"/>
      <c r="AE37" s="136"/>
      <c r="AF37" s="136"/>
      <c r="AG37" s="136"/>
      <c r="AH37" s="136"/>
      <c r="AI37" s="136"/>
      <c r="AJ37" s="136"/>
      <c r="AK37" s="136"/>
      <c r="AL37" s="136"/>
      <c r="AM37" s="136"/>
      <c r="AN37" s="136"/>
      <c r="AO37" s="136"/>
      <c r="AP37" s="136"/>
      <c r="AQ37" s="89"/>
    </row>
    <row r="38" spans="1:43" ht="13.15" customHeight="1" x14ac:dyDescent="0.2">
      <c r="A38" s="19"/>
      <c r="B38" s="60"/>
      <c r="C38" s="24"/>
      <c r="D38" s="24"/>
      <c r="E38" s="155"/>
      <c r="F38" s="80"/>
      <c r="G38" s="80"/>
      <c r="H38" s="80"/>
      <c r="I38" s="80"/>
      <c r="J38" s="80"/>
      <c r="K38" s="321"/>
      <c r="L38" s="124"/>
      <c r="M38" s="124"/>
      <c r="N38" s="354"/>
      <c r="O38" s="110"/>
      <c r="P38" s="110"/>
      <c r="Q38" s="321"/>
      <c r="R38" s="111"/>
      <c r="S38" s="854"/>
      <c r="T38" s="95"/>
      <c r="U38" s="96"/>
      <c r="V38" s="21"/>
      <c r="W38"/>
      <c r="X38">
        <v>15</v>
      </c>
      <c r="Y38" s="228" t="s">
        <v>642</v>
      </c>
      <c r="Z38">
        <v>25</v>
      </c>
      <c r="AA38" s="484" t="s">
        <v>643</v>
      </c>
      <c r="AB38">
        <v>40</v>
      </c>
      <c r="AC38">
        <v>50</v>
      </c>
      <c r="AD38" s="228" t="s">
        <v>295</v>
      </c>
      <c r="AE38">
        <v>80</v>
      </c>
      <c r="AF38">
        <v>100</v>
      </c>
      <c r="AG38" s="228" t="s">
        <v>296</v>
      </c>
      <c r="AH38">
        <v>150</v>
      </c>
      <c r="AI38">
        <v>200</v>
      </c>
      <c r="AJ38">
        <v>250</v>
      </c>
      <c r="AK38">
        <v>300</v>
      </c>
      <c r="AL38">
        <v>350</v>
      </c>
      <c r="AM38" s="2">
        <v>400</v>
      </c>
      <c r="AN38" s="2">
        <v>450</v>
      </c>
      <c r="AO38" s="2">
        <v>500</v>
      </c>
      <c r="AP38" s="2">
        <v>600</v>
      </c>
      <c r="AQ38" s="89"/>
    </row>
    <row r="39" spans="1:43" ht="13.15" customHeight="1" x14ac:dyDescent="0.2">
      <c r="A39" s="26" t="s">
        <v>216</v>
      </c>
      <c r="B39" s="454"/>
      <c r="C39" s="29">
        <v>15</v>
      </c>
      <c r="D39" s="25">
        <v>400</v>
      </c>
      <c r="E39" s="561" t="s">
        <v>384</v>
      </c>
      <c r="F39" s="562"/>
      <c r="G39" s="562"/>
      <c r="H39" s="562"/>
      <c r="I39" s="562"/>
      <c r="J39" s="563"/>
      <c r="K39" s="564" t="s">
        <v>677</v>
      </c>
      <c r="L39" s="562"/>
      <c r="M39" s="562"/>
      <c r="N39" s="563"/>
      <c r="O39" s="97" t="s">
        <v>236</v>
      </c>
      <c r="P39" s="97" t="s">
        <v>246</v>
      </c>
      <c r="Q39" s="565" t="s">
        <v>306</v>
      </c>
      <c r="R39" s="566"/>
      <c r="S39" s="827" t="s">
        <v>357</v>
      </c>
      <c r="T39" s="828"/>
      <c r="U39" s="829"/>
      <c r="V39" s="21"/>
      <c r="X39" s="659" t="s">
        <v>275</v>
      </c>
      <c r="Y39" s="660"/>
      <c r="Z39" s="660"/>
      <c r="AA39" s="660"/>
      <c r="AB39" s="660"/>
      <c r="AC39" s="660"/>
      <c r="AD39" s="660"/>
      <c r="AE39" s="660"/>
      <c r="AF39" s="660"/>
      <c r="AG39" s="660"/>
      <c r="AH39" s="660"/>
      <c r="AI39" s="660"/>
      <c r="AJ39" s="660"/>
      <c r="AK39" s="660"/>
      <c r="AL39" s="660"/>
      <c r="AM39" s="660"/>
      <c r="AN39" s="660"/>
      <c r="AO39" s="660"/>
      <c r="AP39" s="660"/>
      <c r="AQ39" s="89"/>
    </row>
    <row r="40" spans="1:43" ht="13.15" customHeight="1" x14ac:dyDescent="0.2">
      <c r="A40" s="19"/>
      <c r="B40" s="60"/>
      <c r="C40" s="24"/>
      <c r="D40" s="23"/>
      <c r="E40" s="155"/>
      <c r="F40" s="160"/>
      <c r="G40" s="160"/>
      <c r="H40" s="160"/>
      <c r="I40" s="160"/>
      <c r="J40" s="181"/>
      <c r="K40" s="182"/>
      <c r="L40" s="160"/>
      <c r="M40" s="160"/>
      <c r="N40" s="181"/>
      <c r="O40" s="98"/>
      <c r="P40" s="98"/>
      <c r="Q40" s="347"/>
      <c r="R40" s="348"/>
      <c r="S40" s="830"/>
      <c r="T40" s="831"/>
      <c r="U40" s="832"/>
      <c r="V40" s="21"/>
      <c r="AQ40" s="89"/>
    </row>
    <row r="41" spans="1:43" ht="13.15" customHeight="1" x14ac:dyDescent="0.2">
      <c r="A41" s="20"/>
      <c r="B41" s="424"/>
      <c r="C41" s="28"/>
      <c r="D41" s="27"/>
      <c r="E41" s="320"/>
      <c r="F41" s="124"/>
      <c r="G41" s="124"/>
      <c r="H41" s="124"/>
      <c r="I41" s="124"/>
      <c r="J41" s="354"/>
      <c r="K41" s="321"/>
      <c r="L41" s="124"/>
      <c r="M41" s="124"/>
      <c r="N41" s="354"/>
      <c r="O41" s="110"/>
      <c r="P41" s="99"/>
      <c r="Q41" s="80"/>
      <c r="R41" s="80"/>
      <c r="S41" s="94"/>
      <c r="T41" s="95"/>
      <c r="U41" s="96"/>
      <c r="V41" s="21"/>
      <c r="X41" s="61" t="s">
        <v>627</v>
      </c>
      <c r="AQ41" s="89"/>
    </row>
    <row r="42" spans="1:43" ht="13.15" customHeight="1" x14ac:dyDescent="0.2">
      <c r="A42" s="19" t="s">
        <v>215</v>
      </c>
      <c r="B42" s="60"/>
      <c r="C42" s="24">
        <v>15</v>
      </c>
      <c r="D42" s="24">
        <v>400</v>
      </c>
      <c r="E42" s="561" t="s">
        <v>247</v>
      </c>
      <c r="F42" s="562"/>
      <c r="G42" s="562"/>
      <c r="H42" s="562"/>
      <c r="I42" s="562"/>
      <c r="J42" s="563"/>
      <c r="K42" s="564" t="s">
        <v>678</v>
      </c>
      <c r="L42" s="562"/>
      <c r="M42" s="562"/>
      <c r="N42" s="563"/>
      <c r="O42" s="97" t="s">
        <v>236</v>
      </c>
      <c r="P42" s="97" t="s">
        <v>246</v>
      </c>
      <c r="Q42" s="565" t="s">
        <v>306</v>
      </c>
      <c r="R42" s="566"/>
      <c r="S42" s="109"/>
      <c r="T42" s="91"/>
      <c r="U42" s="92"/>
      <c r="V42" s="21"/>
      <c r="X42" s="61" t="s">
        <v>705</v>
      </c>
      <c r="AQ42" s="89"/>
    </row>
    <row r="43" spans="1:43" ht="13.15" customHeight="1" x14ac:dyDescent="0.2">
      <c r="A43" s="19"/>
      <c r="B43" s="60"/>
      <c r="C43" s="24"/>
      <c r="D43" s="24"/>
      <c r="E43" s="155"/>
      <c r="F43" s="160"/>
      <c r="G43" s="160"/>
      <c r="H43" s="160"/>
      <c r="I43" s="160"/>
      <c r="J43" s="181"/>
      <c r="K43" s="182"/>
      <c r="L43" s="160"/>
      <c r="M43" s="160"/>
      <c r="N43" s="181"/>
      <c r="O43" s="98"/>
      <c r="P43" s="98"/>
      <c r="Q43" s="347"/>
      <c r="R43" s="161"/>
      <c r="S43" s="88"/>
      <c r="U43" s="89"/>
      <c r="V43" s="21"/>
      <c r="X43" s="61" t="s">
        <v>706</v>
      </c>
      <c r="AQ43" s="89"/>
    </row>
    <row r="44" spans="1:43" ht="13.15" customHeight="1" x14ac:dyDescent="0.2">
      <c r="A44" s="20"/>
      <c r="B44" s="424"/>
      <c r="C44" s="28"/>
      <c r="D44" s="28"/>
      <c r="E44" s="320"/>
      <c r="F44" s="124"/>
      <c r="G44" s="124"/>
      <c r="H44" s="124"/>
      <c r="I44" s="124"/>
      <c r="J44" s="354"/>
      <c r="K44" s="321"/>
      <c r="L44" s="124"/>
      <c r="M44" s="124"/>
      <c r="N44" s="354"/>
      <c r="O44" s="110"/>
      <c r="P44" s="110"/>
      <c r="Q44" s="80"/>
      <c r="R44" s="80"/>
      <c r="S44" s="94"/>
      <c r="T44" s="95"/>
      <c r="U44" s="96"/>
      <c r="V44" s="21"/>
      <c r="X44" s="61" t="s">
        <v>681</v>
      </c>
      <c r="AQ44" s="89"/>
    </row>
    <row r="45" spans="1:43" ht="13.15" customHeight="1" x14ac:dyDescent="0.2">
      <c r="A45" s="19" t="s">
        <v>214</v>
      </c>
      <c r="B45" s="60"/>
      <c r="C45" s="24">
        <v>15</v>
      </c>
      <c r="D45" s="24">
        <v>50</v>
      </c>
      <c r="E45" s="561" t="s">
        <v>481</v>
      </c>
      <c r="F45" s="562"/>
      <c r="G45" s="562"/>
      <c r="H45" s="562"/>
      <c r="I45" s="562"/>
      <c r="J45" s="563"/>
      <c r="K45" s="564" t="s">
        <v>365</v>
      </c>
      <c r="L45" s="562"/>
      <c r="M45" s="562"/>
      <c r="N45" s="563"/>
      <c r="O45" s="97" t="s">
        <v>335</v>
      </c>
      <c r="P45" s="97" t="s">
        <v>246</v>
      </c>
      <c r="Q45" s="565" t="s">
        <v>309</v>
      </c>
      <c r="R45" s="566"/>
      <c r="S45" s="109"/>
      <c r="T45" s="91"/>
      <c r="U45" s="92"/>
      <c r="V45" s="21"/>
      <c r="X45" s="61" t="s">
        <v>707</v>
      </c>
      <c r="AQ45" s="89"/>
    </row>
    <row r="46" spans="1:43" ht="13.15" customHeight="1" x14ac:dyDescent="0.2">
      <c r="A46" s="19"/>
      <c r="B46" s="60"/>
      <c r="C46" s="24"/>
      <c r="D46" s="23"/>
      <c r="E46" s="155"/>
      <c r="F46" s="160"/>
      <c r="G46" s="160"/>
      <c r="H46" s="160"/>
      <c r="I46" s="160"/>
      <c r="J46" s="181"/>
      <c r="K46" s="182"/>
      <c r="L46" s="160"/>
      <c r="M46" s="160"/>
      <c r="N46" s="181"/>
      <c r="O46" s="98"/>
      <c r="P46" s="98"/>
      <c r="Q46" s="347"/>
      <c r="R46" s="161"/>
      <c r="S46" s="93"/>
      <c r="U46" s="89"/>
      <c r="V46" s="21"/>
      <c r="X46" s="61" t="s">
        <v>708</v>
      </c>
      <c r="AQ46" s="89"/>
    </row>
    <row r="47" spans="1:43" ht="13.15" customHeight="1" x14ac:dyDescent="0.2">
      <c r="A47" s="19"/>
      <c r="B47" s="60"/>
      <c r="C47" s="28"/>
      <c r="D47" s="27"/>
      <c r="E47" s="320"/>
      <c r="F47" s="124"/>
      <c r="G47" s="124"/>
      <c r="H47" s="124"/>
      <c r="I47" s="124"/>
      <c r="J47" s="354"/>
      <c r="K47" s="321"/>
      <c r="L47" s="124"/>
      <c r="M47" s="124"/>
      <c r="N47" s="354"/>
      <c r="O47" s="110"/>
      <c r="P47" s="110"/>
      <c r="Q47" s="80"/>
      <c r="R47" s="80"/>
      <c r="S47" s="94"/>
      <c r="T47" s="95"/>
      <c r="U47" s="96"/>
      <c r="V47" s="21"/>
      <c r="AQ47" s="89"/>
    </row>
    <row r="48" spans="1:43" ht="13.15" customHeight="1" x14ac:dyDescent="0.2">
      <c r="A48" s="26" t="s">
        <v>213</v>
      </c>
      <c r="B48" s="435"/>
      <c r="C48" s="24">
        <v>15</v>
      </c>
      <c r="D48" s="24">
        <v>50</v>
      </c>
      <c r="E48" s="561" t="s">
        <v>482</v>
      </c>
      <c r="F48" s="562"/>
      <c r="G48" s="562"/>
      <c r="H48" s="562"/>
      <c r="I48" s="562"/>
      <c r="J48" s="563"/>
      <c r="K48" s="564" t="s">
        <v>365</v>
      </c>
      <c r="L48" s="562"/>
      <c r="M48" s="562"/>
      <c r="N48" s="563"/>
      <c r="O48" s="97" t="s">
        <v>335</v>
      </c>
      <c r="P48" s="97" t="s">
        <v>248</v>
      </c>
      <c r="Q48" s="565" t="s">
        <v>309</v>
      </c>
      <c r="R48" s="566"/>
      <c r="S48" s="109"/>
      <c r="T48" s="91"/>
      <c r="U48" s="92"/>
      <c r="V48" s="21"/>
      <c r="AQ48" s="89"/>
    </row>
    <row r="49" spans="1:43" ht="13.15" customHeight="1" x14ac:dyDescent="0.2">
      <c r="A49" s="19"/>
      <c r="B49" s="60"/>
      <c r="C49" s="24"/>
      <c r="D49" s="24"/>
      <c r="E49" s="155"/>
      <c r="F49" s="160"/>
      <c r="G49" s="160"/>
      <c r="H49" s="160"/>
      <c r="I49" s="160"/>
      <c r="J49" s="181"/>
      <c r="K49" s="182"/>
      <c r="L49" s="160"/>
      <c r="M49" s="160"/>
      <c r="N49" s="181"/>
      <c r="O49" s="98"/>
      <c r="P49" s="98"/>
      <c r="Q49" s="347"/>
      <c r="R49" s="161"/>
      <c r="S49" s="93"/>
      <c r="U49" s="89"/>
      <c r="V49" s="21"/>
      <c r="AQ49" s="89"/>
    </row>
    <row r="50" spans="1:43" ht="13.15" customHeight="1" x14ac:dyDescent="0.2">
      <c r="A50" s="20"/>
      <c r="B50" s="424"/>
      <c r="C50" s="28"/>
      <c r="D50" s="28"/>
      <c r="E50" s="320"/>
      <c r="F50" s="124"/>
      <c r="G50" s="124"/>
      <c r="H50" s="124"/>
      <c r="I50" s="124"/>
      <c r="J50" s="354"/>
      <c r="K50" s="321"/>
      <c r="L50" s="124"/>
      <c r="M50" s="124"/>
      <c r="N50" s="124"/>
      <c r="O50" s="110"/>
      <c r="P50" s="110"/>
      <c r="Q50" s="80"/>
      <c r="R50" s="80"/>
      <c r="S50" s="94"/>
      <c r="T50" s="95"/>
      <c r="U50" s="96"/>
      <c r="V50" s="21"/>
      <c r="AQ50" s="89"/>
    </row>
    <row r="51" spans="1:43" ht="13.15" customHeight="1" x14ac:dyDescent="0.2">
      <c r="A51" s="19" t="s">
        <v>264</v>
      </c>
      <c r="B51" s="60"/>
      <c r="C51" s="24" t="s">
        <v>313</v>
      </c>
      <c r="D51" s="24" t="s">
        <v>732</v>
      </c>
      <c r="E51" s="561" t="s">
        <v>458</v>
      </c>
      <c r="F51" s="562"/>
      <c r="G51" s="562"/>
      <c r="H51" s="562"/>
      <c r="I51" s="562"/>
      <c r="J51" s="563"/>
      <c r="K51" s="564" t="s">
        <v>655</v>
      </c>
      <c r="L51" s="562"/>
      <c r="M51" s="562"/>
      <c r="N51" s="563"/>
      <c r="O51" s="98" t="s">
        <v>335</v>
      </c>
      <c r="P51" s="97" t="s">
        <v>257</v>
      </c>
      <c r="Q51" s="565" t="s">
        <v>369</v>
      </c>
      <c r="R51" s="566"/>
      <c r="S51" s="109"/>
      <c r="T51" s="91"/>
      <c r="U51" s="92"/>
      <c r="V51" s="21"/>
      <c r="AQ51" s="89"/>
    </row>
    <row r="52" spans="1:43" ht="13.15" customHeight="1" x14ac:dyDescent="0.2">
      <c r="A52" s="20"/>
      <c r="B52" s="424"/>
      <c r="C52" s="28"/>
      <c r="D52" s="28"/>
      <c r="E52" s="320"/>
      <c r="F52" s="349"/>
      <c r="G52" s="349"/>
      <c r="H52" s="349"/>
      <c r="I52" s="349"/>
      <c r="J52" s="350"/>
      <c r="K52" s="321"/>
      <c r="L52" s="349"/>
      <c r="M52" s="349"/>
      <c r="N52" s="350"/>
      <c r="O52" s="146"/>
      <c r="P52" s="146"/>
      <c r="Q52" s="355"/>
      <c r="R52" s="367"/>
      <c r="S52" s="88"/>
      <c r="U52" s="89"/>
      <c r="V52" s="21"/>
      <c r="AQ52" s="89"/>
    </row>
    <row r="53" spans="1:43" ht="13.15" customHeight="1" x14ac:dyDescent="0.2">
      <c r="A53" s="19" t="s">
        <v>212</v>
      </c>
      <c r="B53" s="60"/>
      <c r="C53" s="24" t="s">
        <v>313</v>
      </c>
      <c r="D53" s="24" t="s">
        <v>732</v>
      </c>
      <c r="E53" s="561" t="s">
        <v>315</v>
      </c>
      <c r="F53" s="562"/>
      <c r="G53" s="562"/>
      <c r="H53" s="562"/>
      <c r="I53" s="562"/>
      <c r="J53" s="563"/>
      <c r="K53" s="564" t="s">
        <v>655</v>
      </c>
      <c r="L53" s="562"/>
      <c r="M53" s="562"/>
      <c r="N53" s="563"/>
      <c r="O53" s="97" t="s">
        <v>335</v>
      </c>
      <c r="P53" s="97" t="s">
        <v>257</v>
      </c>
      <c r="Q53" s="565" t="s">
        <v>316</v>
      </c>
      <c r="R53" s="566"/>
      <c r="S53" s="109"/>
      <c r="T53" s="91"/>
      <c r="U53" s="92"/>
      <c r="V53" s="21"/>
      <c r="AQ53" s="89"/>
    </row>
    <row r="54" spans="1:43" ht="13.15" customHeight="1" x14ac:dyDescent="0.2">
      <c r="A54" s="20"/>
      <c r="B54" s="424"/>
      <c r="C54" s="28"/>
      <c r="D54" s="28"/>
      <c r="E54" s="320"/>
      <c r="F54" s="349"/>
      <c r="G54" s="349"/>
      <c r="H54" s="349"/>
      <c r="I54" s="349"/>
      <c r="J54" s="350"/>
      <c r="K54" s="124"/>
      <c r="L54" s="349"/>
      <c r="M54" s="349"/>
      <c r="N54" s="350"/>
      <c r="O54" s="110"/>
      <c r="P54" s="110"/>
      <c r="Q54" s="353"/>
      <c r="R54" s="352"/>
      <c r="S54" s="94"/>
      <c r="T54" s="95"/>
      <c r="U54" s="96"/>
      <c r="V54" s="21"/>
      <c r="W54" s="310"/>
      <c r="X54" s="310"/>
      <c r="Y54" s="311"/>
      <c r="Z54" s="311"/>
      <c r="AA54" s="311"/>
      <c r="AB54" s="311"/>
      <c r="AC54" s="311"/>
      <c r="AD54" s="311"/>
      <c r="AE54" s="310"/>
      <c r="AF54" s="311"/>
      <c r="AG54" s="311"/>
      <c r="AH54" s="311"/>
      <c r="AI54" s="310"/>
      <c r="AJ54" s="310"/>
      <c r="AK54" s="310"/>
      <c r="AL54" s="311"/>
      <c r="AM54" s="310"/>
      <c r="AN54" s="161"/>
      <c r="AO54" s="161"/>
      <c r="AP54" s="311"/>
      <c r="AQ54" s="89"/>
    </row>
    <row r="55" spans="1:43" ht="13.15" customHeight="1" x14ac:dyDescent="0.2">
      <c r="A55" s="19" t="s">
        <v>211</v>
      </c>
      <c r="B55" s="60"/>
      <c r="C55" s="29">
        <v>15</v>
      </c>
      <c r="D55" s="25">
        <v>50</v>
      </c>
      <c r="E55" s="561" t="s">
        <v>263</v>
      </c>
      <c r="F55" s="562"/>
      <c r="G55" s="562"/>
      <c r="H55" s="562"/>
      <c r="I55" s="562"/>
      <c r="J55" s="563"/>
      <c r="K55" s="564" t="s">
        <v>724</v>
      </c>
      <c r="L55" s="562"/>
      <c r="M55" s="562"/>
      <c r="N55" s="563"/>
      <c r="O55" s="97" t="s">
        <v>335</v>
      </c>
      <c r="P55" s="97"/>
      <c r="Q55" s="565" t="s">
        <v>339</v>
      </c>
      <c r="R55" s="566"/>
      <c r="S55" s="825" t="s">
        <v>669</v>
      </c>
      <c r="T55" s="552"/>
      <c r="U55" s="826"/>
      <c r="V55" s="21"/>
      <c r="W55" s="624" t="s">
        <v>259</v>
      </c>
      <c r="X55" s="551" t="s">
        <v>197</v>
      </c>
      <c r="Y55" s="552"/>
      <c r="Z55" s="552"/>
      <c r="AA55" s="552"/>
      <c r="AB55" s="552"/>
      <c r="AC55" s="552"/>
      <c r="AD55" s="553"/>
      <c r="AE55" s="557" t="s">
        <v>241</v>
      </c>
      <c r="AF55" s="552"/>
      <c r="AG55" s="552"/>
      <c r="AH55" s="553"/>
      <c r="AI55" s="559" t="s">
        <v>243</v>
      </c>
      <c r="AJ55" s="559" t="s">
        <v>242</v>
      </c>
      <c r="AK55" s="557" t="s">
        <v>244</v>
      </c>
      <c r="AL55" s="553"/>
      <c r="AM55" s="557" t="s">
        <v>245</v>
      </c>
      <c r="AN55" s="626"/>
      <c r="AO55" s="626"/>
      <c r="AP55" s="627"/>
      <c r="AQ55" s="89"/>
    </row>
    <row r="56" spans="1:43" ht="13.15" customHeight="1" x14ac:dyDescent="0.2">
      <c r="A56" s="19"/>
      <c r="B56" s="60"/>
      <c r="C56" s="24"/>
      <c r="D56" s="23"/>
      <c r="E56" s="155"/>
      <c r="F56" s="160"/>
      <c r="G56" s="160"/>
      <c r="H56" s="160"/>
      <c r="I56" s="160"/>
      <c r="J56" s="181"/>
      <c r="K56" s="182"/>
      <c r="L56" s="160"/>
      <c r="M56" s="160"/>
      <c r="N56" s="181"/>
      <c r="O56" s="98"/>
      <c r="P56" s="98"/>
      <c r="Q56" s="183"/>
      <c r="R56" s="183"/>
      <c r="S56" s="93"/>
      <c r="T56" s="311"/>
      <c r="U56" s="371"/>
      <c r="V56" s="21"/>
      <c r="W56" s="625"/>
      <c r="X56" s="554"/>
      <c r="Y56" s="555"/>
      <c r="Z56" s="555"/>
      <c r="AA56" s="555"/>
      <c r="AB56" s="555"/>
      <c r="AC56" s="555"/>
      <c r="AD56" s="556"/>
      <c r="AE56" s="558"/>
      <c r="AF56" s="555"/>
      <c r="AG56" s="555"/>
      <c r="AH56" s="556"/>
      <c r="AI56" s="560"/>
      <c r="AJ56" s="560"/>
      <c r="AK56" s="558"/>
      <c r="AL56" s="556"/>
      <c r="AM56" s="628"/>
      <c r="AN56" s="586"/>
      <c r="AO56" s="586"/>
      <c r="AP56" s="629"/>
      <c r="AQ56" s="89"/>
    </row>
    <row r="57" spans="1:43" ht="13.15" customHeight="1" x14ac:dyDescent="0.2">
      <c r="A57" s="19"/>
      <c r="B57" s="60"/>
      <c r="C57" s="28"/>
      <c r="D57" s="27"/>
      <c r="E57" s="122"/>
      <c r="F57" s="123"/>
      <c r="G57" s="123"/>
      <c r="H57" s="123"/>
      <c r="I57" s="123"/>
      <c r="J57" s="112"/>
      <c r="K57" s="355"/>
      <c r="L57" s="123"/>
      <c r="M57" s="123"/>
      <c r="N57" s="112"/>
      <c r="O57" s="146"/>
      <c r="P57" s="146"/>
      <c r="Q57" s="123"/>
      <c r="R57" s="123"/>
      <c r="S57" s="88"/>
      <c r="U57" s="89"/>
      <c r="V57" s="21"/>
      <c r="W57" s="127" t="s">
        <v>390</v>
      </c>
      <c r="X57" s="630" t="s">
        <v>349</v>
      </c>
      <c r="Y57" s="552"/>
      <c r="Z57" s="552"/>
      <c r="AA57" s="552"/>
      <c r="AB57" s="552"/>
      <c r="AC57" s="552"/>
      <c r="AD57" s="553"/>
      <c r="AE57" s="572">
        <v>1.5415000000000001</v>
      </c>
      <c r="AF57" s="573"/>
      <c r="AG57" s="573"/>
      <c r="AH57" s="574"/>
      <c r="AI57" s="125" t="s">
        <v>236</v>
      </c>
      <c r="AJ57" s="125" t="s">
        <v>246</v>
      </c>
      <c r="AK57" s="575" t="s">
        <v>348</v>
      </c>
      <c r="AL57" s="576"/>
      <c r="AM57" s="90"/>
      <c r="AN57" s="91"/>
      <c r="AO57" s="91"/>
      <c r="AP57" s="129"/>
      <c r="AQ57" s="89"/>
    </row>
    <row r="58" spans="1:43" ht="13.15" customHeight="1" x14ac:dyDescent="0.2">
      <c r="A58" s="375" t="s">
        <v>547</v>
      </c>
      <c r="B58" s="462"/>
      <c r="C58" s="376"/>
      <c r="D58" s="376"/>
      <c r="E58" s="587"/>
      <c r="F58" s="588"/>
      <c r="G58" s="588"/>
      <c r="H58" s="588"/>
      <c r="I58" s="588"/>
      <c r="J58" s="589"/>
      <c r="K58" s="590"/>
      <c r="L58" s="588"/>
      <c r="M58" s="588"/>
      <c r="N58" s="589"/>
      <c r="O58" s="377" t="s">
        <v>335</v>
      </c>
      <c r="P58" s="377"/>
      <c r="Q58" s="591" t="s">
        <v>549</v>
      </c>
      <c r="R58" s="592"/>
      <c r="S58" s="378"/>
      <c r="T58" s="379"/>
      <c r="U58" s="380"/>
      <c r="V58" s="21"/>
      <c r="W58" s="128" t="s">
        <v>391</v>
      </c>
      <c r="X58" s="546" t="s">
        <v>350</v>
      </c>
      <c r="Y58" s="547"/>
      <c r="Z58" s="547"/>
      <c r="AA58" s="547"/>
      <c r="AB58" s="547"/>
      <c r="AC58" s="547"/>
      <c r="AD58" s="548"/>
      <c r="AE58" s="541">
        <v>1.5415000000000001</v>
      </c>
      <c r="AF58" s="542"/>
      <c r="AG58" s="542"/>
      <c r="AH58" s="543"/>
      <c r="AI58" s="126" t="s">
        <v>236</v>
      </c>
      <c r="AJ58" s="126" t="s">
        <v>246</v>
      </c>
      <c r="AK58" s="544" t="s">
        <v>348</v>
      </c>
      <c r="AL58" s="545"/>
      <c r="AM58" s="88"/>
      <c r="AP58" s="130"/>
      <c r="AQ58" s="89"/>
    </row>
    <row r="59" spans="1:43" ht="13.15" customHeight="1" x14ac:dyDescent="0.2">
      <c r="A59" s="26" t="s">
        <v>278</v>
      </c>
      <c r="B59" s="60"/>
      <c r="C59" s="24" t="s">
        <v>210</v>
      </c>
      <c r="D59" s="25">
        <v>50</v>
      </c>
      <c r="E59" s="561" t="s">
        <v>507</v>
      </c>
      <c r="F59" s="595"/>
      <c r="G59" s="595"/>
      <c r="H59" s="595"/>
      <c r="I59" s="595"/>
      <c r="J59" s="596"/>
      <c r="K59" s="597" t="s">
        <v>451</v>
      </c>
      <c r="L59" s="598"/>
      <c r="M59" s="598"/>
      <c r="N59" s="599"/>
      <c r="O59" s="97" t="s">
        <v>341</v>
      </c>
      <c r="P59" s="97" t="s">
        <v>283</v>
      </c>
      <c r="Q59" s="565" t="s">
        <v>266</v>
      </c>
      <c r="R59" s="566"/>
      <c r="S59" s="90"/>
      <c r="T59" s="91"/>
      <c r="U59" s="92"/>
      <c r="V59" s="21"/>
      <c r="W59" s="128" t="s">
        <v>345</v>
      </c>
      <c r="X59" s="546" t="s">
        <v>431</v>
      </c>
      <c r="Y59" s="547"/>
      <c r="Z59" s="547"/>
      <c r="AA59" s="547"/>
      <c r="AB59" s="547"/>
      <c r="AC59" s="547"/>
      <c r="AD59" s="548"/>
      <c r="AE59" s="541" t="s">
        <v>393</v>
      </c>
      <c r="AF59" s="542"/>
      <c r="AG59" s="542"/>
      <c r="AH59" s="543"/>
      <c r="AI59" s="126" t="s">
        <v>236</v>
      </c>
      <c r="AJ59" s="126" t="s">
        <v>328</v>
      </c>
      <c r="AK59" s="544" t="s">
        <v>347</v>
      </c>
      <c r="AL59" s="545"/>
      <c r="AM59" s="88"/>
      <c r="AP59" s="130"/>
      <c r="AQ59" s="89"/>
    </row>
    <row r="60" spans="1:43" ht="13.15" customHeight="1" x14ac:dyDescent="0.2">
      <c r="A60" s="178" t="s">
        <v>279</v>
      </c>
      <c r="B60" s="374"/>
      <c r="C60" s="24">
        <v>80</v>
      </c>
      <c r="D60" s="23" t="s">
        <v>277</v>
      </c>
      <c r="E60" s="619" t="s">
        <v>508</v>
      </c>
      <c r="F60" s="620"/>
      <c r="G60" s="620"/>
      <c r="H60" s="620"/>
      <c r="I60" s="620"/>
      <c r="J60" s="621"/>
      <c r="K60" s="567" t="s">
        <v>451</v>
      </c>
      <c r="L60" s="568"/>
      <c r="M60" s="568"/>
      <c r="N60" s="569"/>
      <c r="O60" s="98" t="s">
        <v>341</v>
      </c>
      <c r="P60" s="98" t="s">
        <v>283</v>
      </c>
      <c r="Q60" s="570" t="s">
        <v>266</v>
      </c>
      <c r="R60" s="571"/>
      <c r="S60" s="88"/>
      <c r="U60" s="89"/>
      <c r="V60" s="21"/>
      <c r="W60" s="128" t="s">
        <v>346</v>
      </c>
      <c r="X60" s="546" t="s">
        <v>432</v>
      </c>
      <c r="Y60" s="547"/>
      <c r="Z60" s="547"/>
      <c r="AA60" s="547"/>
      <c r="AB60" s="547"/>
      <c r="AC60" s="547"/>
      <c r="AD60" s="548"/>
      <c r="AE60" s="541" t="s">
        <v>393</v>
      </c>
      <c r="AF60" s="542"/>
      <c r="AG60" s="542"/>
      <c r="AH60" s="543"/>
      <c r="AI60" s="126" t="s">
        <v>236</v>
      </c>
      <c r="AJ60" s="126" t="s">
        <v>328</v>
      </c>
      <c r="AK60" s="544" t="s">
        <v>347</v>
      </c>
      <c r="AL60" s="545"/>
      <c r="AM60" s="329" t="s">
        <v>631</v>
      </c>
      <c r="AP60" s="130"/>
      <c r="AQ60" s="89"/>
    </row>
    <row r="61" spans="1:43" ht="13.15" customHeight="1" x14ac:dyDescent="0.2">
      <c r="A61" s="178" t="s">
        <v>280</v>
      </c>
      <c r="B61" s="374"/>
      <c r="C61" s="24"/>
      <c r="D61" s="23"/>
      <c r="E61" s="184"/>
      <c r="F61" s="179"/>
      <c r="G61" s="179"/>
      <c r="H61" s="179"/>
      <c r="I61" s="179"/>
      <c r="J61" s="179"/>
      <c r="K61" s="179"/>
      <c r="L61" s="179"/>
      <c r="M61" s="179"/>
      <c r="N61" s="179"/>
      <c r="O61" s="179"/>
      <c r="P61" s="179"/>
      <c r="Q61" s="179"/>
      <c r="R61" s="180"/>
      <c r="S61" s="88"/>
      <c r="U61" s="89"/>
      <c r="V61" s="21"/>
      <c r="W61" s="128" t="s">
        <v>328</v>
      </c>
      <c r="X61" s="546" t="s">
        <v>395</v>
      </c>
      <c r="Y61" s="547"/>
      <c r="Z61" s="547"/>
      <c r="AA61" s="547"/>
      <c r="AB61" s="547"/>
      <c r="AC61" s="547"/>
      <c r="AD61" s="548"/>
      <c r="AE61" s="541" t="s">
        <v>392</v>
      </c>
      <c r="AF61" s="542"/>
      <c r="AG61" s="542"/>
      <c r="AH61" s="543"/>
      <c r="AI61" s="126" t="s">
        <v>236</v>
      </c>
      <c r="AJ61" s="126" t="s">
        <v>328</v>
      </c>
      <c r="AK61" s="544" t="s">
        <v>347</v>
      </c>
      <c r="AL61" s="545"/>
      <c r="AM61" s="329" t="s">
        <v>631</v>
      </c>
      <c r="AP61" s="130"/>
      <c r="AQ61" s="89"/>
    </row>
    <row r="62" spans="1:43" ht="13.15" customHeight="1" x14ac:dyDescent="0.2">
      <c r="A62" s="178" t="s">
        <v>281</v>
      </c>
      <c r="B62" s="374"/>
      <c r="C62" s="24"/>
      <c r="D62" s="23"/>
      <c r="E62" s="155"/>
      <c r="F62" s="80"/>
      <c r="G62" s="80"/>
      <c r="H62" s="80"/>
      <c r="I62" s="80"/>
      <c r="J62" s="80"/>
      <c r="K62" s="80"/>
      <c r="L62" s="80"/>
      <c r="M62" s="80"/>
      <c r="N62" s="80"/>
      <c r="O62" s="80"/>
      <c r="P62" s="80"/>
      <c r="Q62" s="80"/>
      <c r="R62" s="80"/>
      <c r="S62" s="88"/>
      <c r="U62" s="89"/>
      <c r="V62" s="21"/>
      <c r="W62" s="128"/>
      <c r="X62" s="260"/>
      <c r="Y62" s="160"/>
      <c r="Z62" s="160"/>
      <c r="AA62" s="160"/>
      <c r="AB62" s="160"/>
      <c r="AE62" s="541"/>
      <c r="AF62" s="542"/>
      <c r="AG62" s="542"/>
      <c r="AH62" s="543"/>
      <c r="AI62" s="126"/>
      <c r="AJ62" s="126"/>
      <c r="AK62" s="544"/>
      <c r="AL62" s="545"/>
      <c r="AM62" s="88"/>
      <c r="AP62" s="130"/>
      <c r="AQ62" s="89"/>
    </row>
    <row r="63" spans="1:43" ht="13.15" customHeight="1" x14ac:dyDescent="0.2">
      <c r="A63" s="178" t="s">
        <v>282</v>
      </c>
      <c r="B63" s="374"/>
      <c r="C63" s="23"/>
      <c r="D63" s="22"/>
      <c r="E63" s="155"/>
      <c r="F63" s="80"/>
      <c r="G63" s="80"/>
      <c r="H63" s="80"/>
      <c r="I63" s="80"/>
      <c r="J63" s="80"/>
      <c r="K63" s="80"/>
      <c r="L63" s="80"/>
      <c r="M63" s="80"/>
      <c r="N63" s="80"/>
      <c r="O63" s="80"/>
      <c r="P63" s="80"/>
      <c r="Q63" s="80"/>
      <c r="R63" s="80"/>
      <c r="S63" s="94"/>
      <c r="T63" s="95"/>
      <c r="U63" s="96"/>
      <c r="V63" s="21"/>
      <c r="W63" s="132"/>
      <c r="X63" s="94"/>
      <c r="Y63" s="95"/>
      <c r="Z63" s="95"/>
      <c r="AA63" s="95"/>
      <c r="AB63" s="95"/>
      <c r="AC63" s="95"/>
      <c r="AD63" s="133"/>
      <c r="AE63" s="134"/>
      <c r="AF63" s="95"/>
      <c r="AG63" s="95"/>
      <c r="AH63" s="133"/>
      <c r="AI63" s="135"/>
      <c r="AJ63" s="135"/>
      <c r="AK63" s="134"/>
      <c r="AL63" s="131"/>
      <c r="AM63" s="95"/>
      <c r="AN63" s="95"/>
      <c r="AO63" s="95"/>
      <c r="AP63" s="131"/>
      <c r="AQ63" s="89"/>
    </row>
    <row r="64" spans="1:43" ht="13.15" customHeight="1" x14ac:dyDescent="0.2">
      <c r="A64" s="741" t="s">
        <v>658</v>
      </c>
      <c r="B64" s="742"/>
      <c r="C64" s="689"/>
      <c r="D64" s="689"/>
      <c r="E64" s="689"/>
      <c r="F64" s="689"/>
      <c r="G64" s="689"/>
      <c r="H64" s="689"/>
      <c r="I64" s="689"/>
      <c r="J64" s="689"/>
      <c r="K64" s="689"/>
      <c r="L64" s="689"/>
      <c r="M64" s="689"/>
      <c r="N64" s="689"/>
      <c r="O64" s="689"/>
      <c r="P64" s="689"/>
      <c r="Q64" s="689"/>
      <c r="R64" s="743"/>
      <c r="S64" s="327" t="s">
        <v>479</v>
      </c>
      <c r="T64" s="91"/>
      <c r="U64" s="92"/>
      <c r="V64" s="21"/>
      <c r="AQ64" s="89"/>
    </row>
    <row r="65" spans="1:43" ht="13.15" customHeight="1" x14ac:dyDescent="0.2">
      <c r="A65" s="744"/>
      <c r="B65" s="692"/>
      <c r="C65" s="692"/>
      <c r="D65" s="692"/>
      <c r="E65" s="692"/>
      <c r="F65" s="692"/>
      <c r="G65" s="692"/>
      <c r="H65" s="692"/>
      <c r="I65" s="692"/>
      <c r="J65" s="692"/>
      <c r="K65" s="692"/>
      <c r="L65" s="692"/>
      <c r="M65" s="692"/>
      <c r="N65" s="692"/>
      <c r="O65" s="692"/>
      <c r="P65" s="692"/>
      <c r="Q65" s="692"/>
      <c r="R65" s="745"/>
      <c r="S65" s="93" t="s">
        <v>480</v>
      </c>
      <c r="U65" s="89"/>
      <c r="V65" s="21"/>
      <c r="AQ65" s="89"/>
    </row>
    <row r="66" spans="1:43" ht="13.15" customHeight="1" x14ac:dyDescent="0.2">
      <c r="A66" s="744"/>
      <c r="B66" s="692"/>
      <c r="C66" s="692"/>
      <c r="D66" s="692"/>
      <c r="E66" s="692"/>
      <c r="F66" s="692"/>
      <c r="G66" s="692"/>
      <c r="H66" s="692"/>
      <c r="I66" s="692"/>
      <c r="J66" s="692"/>
      <c r="K66" s="692"/>
      <c r="L66" s="692"/>
      <c r="M66" s="692"/>
      <c r="N66" s="692"/>
      <c r="O66" s="692"/>
      <c r="P66" s="692"/>
      <c r="Q66" s="692"/>
      <c r="R66" s="745"/>
      <c r="S66" s="93" t="s">
        <v>486</v>
      </c>
      <c r="U66" s="89"/>
      <c r="V66" s="21"/>
      <c r="AQ66" s="89"/>
    </row>
    <row r="67" spans="1:43" ht="13.15" customHeight="1" x14ac:dyDescent="0.2">
      <c r="A67" s="744"/>
      <c r="B67" s="692"/>
      <c r="C67" s="692"/>
      <c r="D67" s="692"/>
      <c r="E67" s="692"/>
      <c r="F67" s="692"/>
      <c r="G67" s="692"/>
      <c r="H67" s="692"/>
      <c r="I67" s="692"/>
      <c r="J67" s="692"/>
      <c r="K67" s="692"/>
      <c r="L67" s="692"/>
      <c r="M67" s="692"/>
      <c r="N67" s="692"/>
      <c r="O67" s="692"/>
      <c r="P67" s="692"/>
      <c r="Q67" s="692"/>
      <c r="R67" s="745"/>
      <c r="S67" s="93" t="s">
        <v>487</v>
      </c>
      <c r="U67" s="89"/>
      <c r="V67" s="21"/>
      <c r="AQ67" s="89"/>
    </row>
    <row r="68" spans="1:43" ht="13.15" customHeight="1" x14ac:dyDescent="0.2">
      <c r="A68" s="744"/>
      <c r="B68" s="692"/>
      <c r="C68" s="692"/>
      <c r="D68" s="692"/>
      <c r="E68" s="692"/>
      <c r="F68" s="692"/>
      <c r="G68" s="692"/>
      <c r="H68" s="692"/>
      <c r="I68" s="692"/>
      <c r="J68" s="692"/>
      <c r="K68" s="692"/>
      <c r="L68" s="692"/>
      <c r="M68" s="692"/>
      <c r="N68" s="692"/>
      <c r="O68" s="692"/>
      <c r="P68" s="692"/>
      <c r="Q68" s="692"/>
      <c r="R68" s="745"/>
      <c r="S68" s="93" t="s">
        <v>488</v>
      </c>
      <c r="U68" s="89"/>
      <c r="V68" s="21"/>
      <c r="AQ68" s="89"/>
    </row>
    <row r="69" spans="1:43" ht="13.15" customHeight="1" x14ac:dyDescent="0.2">
      <c r="A69" s="744"/>
      <c r="B69" s="692"/>
      <c r="C69" s="692"/>
      <c r="D69" s="692"/>
      <c r="E69" s="692"/>
      <c r="F69" s="692"/>
      <c r="G69" s="692"/>
      <c r="H69" s="692"/>
      <c r="I69" s="692"/>
      <c r="J69" s="692"/>
      <c r="K69" s="692"/>
      <c r="L69" s="692"/>
      <c r="M69" s="692"/>
      <c r="N69" s="692"/>
      <c r="O69" s="692"/>
      <c r="P69" s="692"/>
      <c r="Q69" s="692"/>
      <c r="R69" s="745"/>
      <c r="S69" s="60" t="s">
        <v>499</v>
      </c>
      <c r="U69" s="89"/>
      <c r="V69" s="21"/>
      <c r="AQ69" s="89"/>
    </row>
    <row r="70" spans="1:43" ht="13.15" customHeight="1" x14ac:dyDescent="0.2">
      <c r="A70" s="622" t="s">
        <v>535</v>
      </c>
      <c r="B70" s="623"/>
      <c r="C70" s="623"/>
      <c r="D70" s="623"/>
      <c r="E70" s="623"/>
      <c r="F70" s="623"/>
      <c r="G70" s="623"/>
      <c r="H70" s="623"/>
      <c r="I70" s="623"/>
      <c r="J70" s="623"/>
      <c r="K70" s="623"/>
      <c r="L70" s="623"/>
      <c r="M70" s="623"/>
      <c r="N70" s="623"/>
      <c r="O70" s="623"/>
      <c r="P70" s="623"/>
      <c r="Q70" s="623"/>
      <c r="R70" s="623"/>
      <c r="S70" s="93" t="s">
        <v>498</v>
      </c>
      <c r="U70" s="89"/>
      <c r="V70" s="21"/>
      <c r="AQ70" s="89"/>
    </row>
    <row r="71" spans="1:43" ht="13.15" customHeight="1" x14ac:dyDescent="0.2">
      <c r="A71" s="19" t="s">
        <v>260</v>
      </c>
      <c r="B71" s="435"/>
      <c r="C71" s="583" t="s">
        <v>269</v>
      </c>
      <c r="D71" s="602"/>
      <c r="E71" s="602"/>
      <c r="F71" s="602"/>
      <c r="G71" s="602"/>
      <c r="H71" s="602"/>
      <c r="I71" s="602"/>
      <c r="J71" s="602"/>
      <c r="K71" s="602"/>
      <c r="L71" s="602"/>
      <c r="M71" s="602"/>
      <c r="N71" s="602"/>
      <c r="O71" s="602"/>
      <c r="P71" s="602"/>
      <c r="Q71" s="602"/>
      <c r="R71" s="602"/>
      <c r="S71" s="93" t="s">
        <v>489</v>
      </c>
      <c r="U71" s="89"/>
      <c r="V71" s="21"/>
      <c r="AQ71" s="89"/>
    </row>
    <row r="72" spans="1:43" ht="13.15" customHeight="1" x14ac:dyDescent="0.2">
      <c r="A72" s="375" t="s">
        <v>478</v>
      </c>
      <c r="B72" s="463"/>
      <c r="C72" s="587" t="s">
        <v>269</v>
      </c>
      <c r="D72" s="609"/>
      <c r="E72" s="609"/>
      <c r="F72" s="609"/>
      <c r="G72" s="609"/>
      <c r="H72" s="609"/>
      <c r="I72" s="609"/>
      <c r="J72" s="609"/>
      <c r="K72" s="609"/>
      <c r="L72" s="609"/>
      <c r="M72" s="609"/>
      <c r="N72" s="609"/>
      <c r="O72" s="609"/>
      <c r="P72" s="609"/>
      <c r="Q72" s="609"/>
      <c r="R72" s="609"/>
      <c r="S72" s="93" t="s">
        <v>490</v>
      </c>
      <c r="U72" s="89"/>
      <c r="V72" s="21"/>
      <c r="AQ72" s="89"/>
    </row>
    <row r="73" spans="1:43" ht="13.15" customHeight="1" x14ac:dyDescent="0.2">
      <c r="A73" s="19" t="s">
        <v>372</v>
      </c>
      <c r="B73" s="60"/>
      <c r="C73" s="583" t="s">
        <v>320</v>
      </c>
      <c r="D73" s="600"/>
      <c r="E73" s="600"/>
      <c r="F73" s="600"/>
      <c r="G73" s="600"/>
      <c r="H73" s="600"/>
      <c r="I73" s="600"/>
      <c r="J73" s="600"/>
      <c r="K73" s="600"/>
      <c r="L73" s="600"/>
      <c r="M73" s="600"/>
      <c r="N73" s="600"/>
      <c r="O73" s="600"/>
      <c r="P73" s="600"/>
      <c r="Q73" s="600"/>
      <c r="R73" s="600"/>
      <c r="S73" s="93" t="s">
        <v>491</v>
      </c>
      <c r="U73" s="89"/>
      <c r="V73" s="21"/>
      <c r="AQ73" s="89"/>
    </row>
    <row r="74" spans="1:43" ht="13.15" customHeight="1" x14ac:dyDescent="0.2">
      <c r="A74" s="19" t="s">
        <v>373</v>
      </c>
      <c r="B74" s="60"/>
      <c r="C74" s="610" t="s">
        <v>626</v>
      </c>
      <c r="D74" s="611"/>
      <c r="E74" s="611"/>
      <c r="F74" s="611"/>
      <c r="G74" s="611"/>
      <c r="H74" s="611"/>
      <c r="I74" s="611"/>
      <c r="J74" s="611"/>
      <c r="K74" s="611"/>
      <c r="L74" s="611"/>
      <c r="M74" s="611"/>
      <c r="N74" s="611"/>
      <c r="O74" s="611"/>
      <c r="P74" s="611"/>
      <c r="Q74" s="611"/>
      <c r="R74" s="612"/>
      <c r="S74" s="93" t="s">
        <v>492</v>
      </c>
      <c r="U74" s="89"/>
      <c r="V74" s="21"/>
      <c r="AQ74" s="89"/>
    </row>
    <row r="75" spans="1:43" ht="13.15" customHeight="1" x14ac:dyDescent="0.2">
      <c r="A75" s="19" t="s">
        <v>261</v>
      </c>
      <c r="B75" s="60"/>
      <c r="C75" s="610" t="s">
        <v>321</v>
      </c>
      <c r="D75" s="613"/>
      <c r="E75" s="613"/>
      <c r="F75" s="613"/>
      <c r="G75" s="613"/>
      <c r="H75" s="613"/>
      <c r="I75" s="613"/>
      <c r="J75" s="613"/>
      <c r="K75" s="613"/>
      <c r="L75" s="613"/>
      <c r="M75" s="613"/>
      <c r="N75" s="613"/>
      <c r="O75" s="613"/>
      <c r="P75" s="613"/>
      <c r="Q75" s="613"/>
      <c r="R75" s="614"/>
      <c r="S75" s="93" t="s">
        <v>493</v>
      </c>
      <c r="U75" s="89"/>
      <c r="V75" s="21"/>
      <c r="AQ75" s="89"/>
    </row>
    <row r="76" spans="1:43" ht="13.15" customHeight="1" x14ac:dyDescent="0.2">
      <c r="A76" s="19" t="s">
        <v>262</v>
      </c>
      <c r="B76" s="60"/>
      <c r="C76" s="583" t="s">
        <v>324</v>
      </c>
      <c r="D76" s="600"/>
      <c r="E76" s="600"/>
      <c r="F76" s="600"/>
      <c r="G76" s="600"/>
      <c r="H76" s="600"/>
      <c r="I76" s="600"/>
      <c r="J76" s="600"/>
      <c r="K76" s="600"/>
      <c r="L76" s="600"/>
      <c r="M76" s="600"/>
      <c r="N76" s="600"/>
      <c r="O76" s="600"/>
      <c r="P76" s="600"/>
      <c r="Q76" s="600"/>
      <c r="R76" s="600"/>
      <c r="S76" s="88"/>
      <c r="U76" s="89"/>
      <c r="V76" s="21"/>
      <c r="AQ76" s="89"/>
    </row>
    <row r="77" spans="1:43" ht="13.15" customHeight="1" x14ac:dyDescent="0.2">
      <c r="A77" s="19"/>
      <c r="B77" s="60"/>
      <c r="C77" s="583" t="s">
        <v>228</v>
      </c>
      <c r="D77" s="600"/>
      <c r="E77" s="600"/>
      <c r="F77" s="600"/>
      <c r="G77" s="600"/>
      <c r="H77" s="600"/>
      <c r="I77" s="600"/>
      <c r="J77" s="600"/>
      <c r="K77" s="600"/>
      <c r="L77" s="600"/>
      <c r="M77" s="600"/>
      <c r="N77" s="600"/>
      <c r="O77" s="600"/>
      <c r="P77" s="600"/>
      <c r="Q77" s="600"/>
      <c r="R77" s="600"/>
      <c r="S77" s="88"/>
      <c r="U77" s="89"/>
      <c r="V77" s="21"/>
      <c r="AQ77" s="89"/>
    </row>
    <row r="78" spans="1:43" ht="13.15" customHeight="1" thickBot="1" x14ac:dyDescent="0.25">
      <c r="A78" s="19"/>
      <c r="B78" s="60"/>
      <c r="C78" s="583" t="s">
        <v>270</v>
      </c>
      <c r="D78" s="602"/>
      <c r="E78" s="602"/>
      <c r="F78" s="602"/>
      <c r="G78" s="602"/>
      <c r="H78" s="602"/>
      <c r="I78" s="602"/>
      <c r="J78" s="602"/>
      <c r="K78" s="602"/>
      <c r="L78" s="602"/>
      <c r="M78" s="602"/>
      <c r="N78" s="602"/>
      <c r="O78" s="602"/>
      <c r="P78" s="602"/>
      <c r="Q78" s="602"/>
      <c r="R78" s="602"/>
      <c r="S78" s="326"/>
      <c r="T78" s="143"/>
      <c r="U78" s="144"/>
      <c r="V78" s="21"/>
      <c r="W78" s="143"/>
      <c r="X78" s="143"/>
      <c r="Y78" s="143"/>
      <c r="Z78" s="143"/>
      <c r="AA78" s="143"/>
      <c r="AB78" s="143"/>
      <c r="AC78" s="143"/>
      <c r="AD78" s="143"/>
      <c r="AE78" s="143"/>
      <c r="AF78" s="143"/>
      <c r="AG78" s="143"/>
      <c r="AH78" s="143"/>
      <c r="AI78" s="143"/>
      <c r="AJ78" s="143"/>
      <c r="AK78" s="143"/>
      <c r="AL78" s="143"/>
      <c r="AM78" s="143"/>
      <c r="AN78" s="143"/>
      <c r="AO78" s="143"/>
      <c r="AP78" s="143"/>
      <c r="AQ78" s="89"/>
    </row>
    <row r="79" spans="1:43" ht="13.15" customHeight="1" x14ac:dyDescent="0.2">
      <c r="A79" s="162" t="s">
        <v>209</v>
      </c>
      <c r="B79" s="464"/>
      <c r="C79" s="18" t="s">
        <v>208</v>
      </c>
      <c r="D79" s="16"/>
      <c r="E79" s="18" t="s">
        <v>207</v>
      </c>
      <c r="F79" s="18"/>
      <c r="G79" s="18" t="s">
        <v>206</v>
      </c>
      <c r="H79" s="17" t="e">
        <f>#REF!</f>
        <v>#REF!</v>
      </c>
      <c r="I79" s="16"/>
      <c r="J79" s="16"/>
      <c r="K79" s="16"/>
      <c r="L79" s="16"/>
      <c r="M79" s="16"/>
      <c r="N79" s="16"/>
      <c r="O79" s="16"/>
      <c r="P79" s="16"/>
      <c r="Q79" s="16"/>
      <c r="R79" s="16"/>
      <c r="S79" s="103"/>
      <c r="T79" s="103"/>
      <c r="U79" s="145"/>
      <c r="V79" s="162" t="s">
        <v>209</v>
      </c>
      <c r="W79" s="16"/>
      <c r="X79" s="163"/>
      <c r="Y79" s="18" t="s">
        <v>208</v>
      </c>
      <c r="Z79" s="16"/>
      <c r="AA79" s="18" t="s">
        <v>207</v>
      </c>
      <c r="AB79" s="18"/>
      <c r="AC79" s="18" t="s">
        <v>206</v>
      </c>
      <c r="AD79" s="17" t="e">
        <f>H79</f>
        <v>#REF!</v>
      </c>
      <c r="AE79" s="16"/>
      <c r="AF79" s="16"/>
      <c r="AG79" s="16"/>
      <c r="AH79" s="16"/>
      <c r="AI79" s="16"/>
      <c r="AJ79" s="16"/>
      <c r="AK79" s="16"/>
      <c r="AL79" s="16"/>
      <c r="AM79" s="16"/>
      <c r="AN79" s="103"/>
      <c r="AO79" s="103"/>
      <c r="AP79" s="103"/>
      <c r="AQ79" s="145"/>
    </row>
    <row r="80" spans="1:43" ht="13.15" customHeight="1" thickBot="1" x14ac:dyDescent="0.25">
      <c r="A80" s="159" t="e">
        <f>#REF!</f>
        <v>#REF!</v>
      </c>
      <c r="B80" s="175"/>
      <c r="C80" s="603" t="e">
        <f>#REF!</f>
        <v>#REF!</v>
      </c>
      <c r="D80" s="604"/>
      <c r="E80" s="605" t="e">
        <f>#REF!</f>
        <v>#REF!</v>
      </c>
      <c r="F80" s="606"/>
      <c r="G80" s="15"/>
      <c r="H80" s="14"/>
      <c r="I80" s="14"/>
      <c r="J80" s="14"/>
      <c r="K80" s="14"/>
      <c r="L80" s="14"/>
      <c r="M80" s="14"/>
      <c r="N80" s="14"/>
      <c r="O80" s="14"/>
      <c r="P80" s="14"/>
      <c r="Q80" s="14"/>
      <c r="R80" s="14"/>
      <c r="S80" s="143"/>
      <c r="T80" s="143"/>
      <c r="U80" s="144"/>
      <c r="V80" s="121"/>
      <c r="W80" s="14" t="e">
        <f>A80</f>
        <v>#REF!</v>
      </c>
      <c r="X80" s="164"/>
      <c r="Y80" s="603" t="e">
        <f>C80</f>
        <v>#REF!</v>
      </c>
      <c r="Z80" s="607"/>
      <c r="AA80" s="605" t="e">
        <f>E80</f>
        <v>#REF!</v>
      </c>
      <c r="AB80" s="608"/>
      <c r="AC80" s="15"/>
      <c r="AD80" s="14"/>
      <c r="AE80" s="14"/>
      <c r="AF80" s="14"/>
      <c r="AG80" s="14"/>
      <c r="AH80" s="14"/>
      <c r="AI80" s="14"/>
      <c r="AJ80" s="14"/>
      <c r="AK80" s="14"/>
      <c r="AL80" s="14"/>
      <c r="AM80" s="14"/>
      <c r="AN80" s="143"/>
      <c r="AO80" s="143"/>
      <c r="AP80" s="143"/>
      <c r="AQ80" s="144"/>
    </row>
  </sheetData>
  <mergeCells count="132">
    <mergeCell ref="AM55:AP56"/>
    <mergeCell ref="X61:AD61"/>
    <mergeCell ref="A70:R70"/>
    <mergeCell ref="A64:R69"/>
    <mergeCell ref="AE62:AH62"/>
    <mergeCell ref="AK62:AL62"/>
    <mergeCell ref="X58:AD58"/>
    <mergeCell ref="AE61:AH61"/>
    <mergeCell ref="AK61:AL61"/>
    <mergeCell ref="E58:J58"/>
    <mergeCell ref="K58:N58"/>
    <mergeCell ref="X59:AD59"/>
    <mergeCell ref="AE59:AH59"/>
    <mergeCell ref="AK59:AL59"/>
    <mergeCell ref="Q55:R55"/>
    <mergeCell ref="X55:AD56"/>
    <mergeCell ref="AE55:AH56"/>
    <mergeCell ref="AI55:AI56"/>
    <mergeCell ref="AJ55:AJ56"/>
    <mergeCell ref="AK55:AL56"/>
    <mergeCell ref="P6:Q6"/>
    <mergeCell ref="AL6:AM6"/>
    <mergeCell ref="C7:D7"/>
    <mergeCell ref="Y7:Z7"/>
    <mergeCell ref="K34:N34"/>
    <mergeCell ref="E37:J37"/>
    <mergeCell ref="K37:N37"/>
    <mergeCell ref="Q37:R37"/>
    <mergeCell ref="E33:J33"/>
    <mergeCell ref="K33:N33"/>
    <mergeCell ref="Q33:R33"/>
    <mergeCell ref="E34:J34"/>
    <mergeCell ref="Q34:R34"/>
    <mergeCell ref="E35:J35"/>
    <mergeCell ref="K35:N35"/>
    <mergeCell ref="S17:U18"/>
    <mergeCell ref="E31:J31"/>
    <mergeCell ref="K31:N31"/>
    <mergeCell ref="E36:J36"/>
    <mergeCell ref="Q36:R36"/>
    <mergeCell ref="X18:AP18"/>
    <mergeCell ref="K30:N30"/>
    <mergeCell ref="Q30:R30"/>
    <mergeCell ref="Q19:R19"/>
    <mergeCell ref="S39:U40"/>
    <mergeCell ref="Q51:R51"/>
    <mergeCell ref="S55:U55"/>
    <mergeCell ref="Q58:R58"/>
    <mergeCell ref="Q48:R48"/>
    <mergeCell ref="W55:W56"/>
    <mergeCell ref="Q53:R53"/>
    <mergeCell ref="AA80:AB80"/>
    <mergeCell ref="C78:R78"/>
    <mergeCell ref="C80:D80"/>
    <mergeCell ref="E80:F80"/>
    <mergeCell ref="Y80:Z80"/>
    <mergeCell ref="C71:R71"/>
    <mergeCell ref="C72:R72"/>
    <mergeCell ref="C73:R73"/>
    <mergeCell ref="C74:R74"/>
    <mergeCell ref="C76:R76"/>
    <mergeCell ref="C77:R77"/>
    <mergeCell ref="C75:R75"/>
    <mergeCell ref="E20:J20"/>
    <mergeCell ref="K20:N20"/>
    <mergeCell ref="E17:J18"/>
    <mergeCell ref="AE57:AH57"/>
    <mergeCell ref="AK57:AL57"/>
    <mergeCell ref="X60:AD60"/>
    <mergeCell ref="AE60:AH60"/>
    <mergeCell ref="AK60:AL60"/>
    <mergeCell ref="AE58:AH58"/>
    <mergeCell ref="AK58:AL58"/>
    <mergeCell ref="X57:AD57"/>
    <mergeCell ref="Q20:R20"/>
    <mergeCell ref="E59:J59"/>
    <mergeCell ref="K59:N59"/>
    <mergeCell ref="Q59:R59"/>
    <mergeCell ref="E60:J60"/>
    <mergeCell ref="Q60:R60"/>
    <mergeCell ref="K60:N60"/>
    <mergeCell ref="K36:N36"/>
    <mergeCell ref="V19:V37"/>
    <mergeCell ref="X39:AP39"/>
    <mergeCell ref="Q29:R29"/>
    <mergeCell ref="K17:N18"/>
    <mergeCell ref="O17:O18"/>
    <mergeCell ref="P17:P18"/>
    <mergeCell ref="Q17:R18"/>
    <mergeCell ref="C17:D17"/>
    <mergeCell ref="K7:N7"/>
    <mergeCell ref="AG7:AJ7"/>
    <mergeCell ref="Q35:R35"/>
    <mergeCell ref="S9:U12"/>
    <mergeCell ref="E30:J30"/>
    <mergeCell ref="E21:J21"/>
    <mergeCell ref="K21:N21"/>
    <mergeCell ref="Q21:R21"/>
    <mergeCell ref="E22:J22"/>
    <mergeCell ref="K22:N22"/>
    <mergeCell ref="Q22:R22"/>
    <mergeCell ref="S14:U16"/>
    <mergeCell ref="E25:J25"/>
    <mergeCell ref="K25:N25"/>
    <mergeCell ref="Q25:R25"/>
    <mergeCell ref="E19:J19"/>
    <mergeCell ref="C11:R11"/>
    <mergeCell ref="K19:N19"/>
    <mergeCell ref="S29:S38"/>
    <mergeCell ref="E24:J24"/>
    <mergeCell ref="Q24:R24"/>
    <mergeCell ref="K24:N24"/>
    <mergeCell ref="K29:N29"/>
    <mergeCell ref="K39:N39"/>
    <mergeCell ref="K42:N42"/>
    <mergeCell ref="K45:N45"/>
    <mergeCell ref="K48:N48"/>
    <mergeCell ref="K51:N51"/>
    <mergeCell ref="K53:N53"/>
    <mergeCell ref="K55:N55"/>
    <mergeCell ref="Q31:R31"/>
    <mergeCell ref="E29:J29"/>
    <mergeCell ref="E39:J39"/>
    <mergeCell ref="E42:J42"/>
    <mergeCell ref="E45:J45"/>
    <mergeCell ref="E48:J48"/>
    <mergeCell ref="E51:J51"/>
    <mergeCell ref="E53:J53"/>
    <mergeCell ref="E55:J55"/>
    <mergeCell ref="Q45:R45"/>
    <mergeCell ref="Q42:R42"/>
    <mergeCell ref="Q39:R39"/>
  </mergeCells>
  <pageMargins left="0.70866141732283472" right="0.15748031496062992" top="0.51181102362204722" bottom="0.43307086614173229" header="0.27559055118110237" footer="0.27559055118110237"/>
  <pageSetup paperSize="9" scale="75" pageOrder="overThenDown" orientation="portrait" r:id="rId1"/>
  <headerFooter alignWithMargins="0">
    <oddHeader>&amp;LPIRS Vorlagen-Projekt&amp;C&amp;8Project: Template&amp;R&amp;G</oddHeader>
    <oddFooter xml:space="preserve">&amp;L&amp;8 &amp;F _&amp;A&amp;R&amp;8Page &amp;P+8 of [&amp;N+8]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F76D3-4B34-4DAF-A13D-4C51D09B3347}">
  <sheetPr codeName="Tabelle24"/>
  <dimension ref="A1:AQ80"/>
  <sheetViews>
    <sheetView showWhiteSpace="0" view="pageLayout" zoomScaleNormal="100" workbookViewId="0">
      <selection activeCell="AL2" sqref="AL2:AL4"/>
    </sheetView>
  </sheetViews>
  <sheetFormatPr defaultColWidth="0" defaultRowHeight="12.75" x14ac:dyDescent="0.2"/>
  <cols>
    <col min="1" max="1" width="14.28515625" style="13" customWidth="1"/>
    <col min="2" max="2" width="3.5703125" style="13" customWidth="1"/>
    <col min="3" max="21" width="5.7109375" style="13" customWidth="1"/>
    <col min="22" max="22" width="4.140625" style="13" customWidth="1"/>
    <col min="23" max="23" width="6.140625" style="13" customWidth="1"/>
    <col min="24" max="42" width="5.7109375" style="13" customWidth="1"/>
    <col min="43" max="59" width="6.140625" style="13" customWidth="1"/>
    <col min="60" max="16384" width="0" style="13" hidden="1"/>
  </cols>
  <sheetData>
    <row r="1" spans="1:43" ht="13.15" customHeight="1" x14ac:dyDescent="0.2">
      <c r="A1" s="73"/>
      <c r="B1" s="72"/>
      <c r="C1" s="72"/>
      <c r="D1" s="71"/>
      <c r="E1" s="16"/>
      <c r="F1" s="16"/>
      <c r="G1" s="16"/>
      <c r="H1" s="16"/>
      <c r="I1" s="16"/>
      <c r="J1" s="16"/>
      <c r="K1" s="114" t="s">
        <v>253</v>
      </c>
      <c r="L1" s="116"/>
      <c r="M1" s="70"/>
      <c r="N1" s="16"/>
      <c r="O1" s="16"/>
      <c r="P1" s="16" t="s">
        <v>714</v>
      </c>
      <c r="Q1" s="69"/>
      <c r="R1" s="68" t="s">
        <v>230</v>
      </c>
      <c r="S1" s="68"/>
      <c r="T1" s="67" t="s">
        <v>342</v>
      </c>
      <c r="U1" s="66"/>
      <c r="V1" s="162"/>
      <c r="W1" s="16"/>
      <c r="X1" s="72"/>
      <c r="Y1" s="72"/>
      <c r="Z1" s="71"/>
      <c r="AA1" s="16"/>
      <c r="AB1" s="16"/>
      <c r="AC1" s="16"/>
      <c r="AD1" s="16"/>
      <c r="AE1" s="16"/>
      <c r="AF1" s="342"/>
      <c r="AG1" s="230" t="s">
        <v>253</v>
      </c>
      <c r="AH1" s="70"/>
      <c r="AI1" s="16"/>
      <c r="AJ1" s="16"/>
      <c r="AK1" s="16"/>
      <c r="AL1" s="68" t="str">
        <f>P1</f>
        <v>PT01</v>
      </c>
      <c r="AM1" s="69"/>
      <c r="AN1" s="68" t="s">
        <v>230</v>
      </c>
      <c r="AO1" s="68"/>
      <c r="AP1" s="67" t="str">
        <f>T1</f>
        <v>4E0 (1.5415)</v>
      </c>
      <c r="AQ1" s="66"/>
    </row>
    <row r="2" spans="1:43" ht="13.15" customHeight="1" x14ac:dyDescent="0.2">
      <c r="A2" s="63" t="s">
        <v>276</v>
      </c>
      <c r="B2" s="61"/>
      <c r="C2" s="62" t="s">
        <v>460</v>
      </c>
      <c r="D2" s="61"/>
      <c r="E2" s="60"/>
      <c r="F2" s="60"/>
      <c r="G2" s="60"/>
      <c r="H2" s="60"/>
      <c r="I2" s="60"/>
      <c r="J2" s="59"/>
      <c r="K2" s="100" t="s">
        <v>232</v>
      </c>
      <c r="L2" s="74"/>
      <c r="M2" s="81"/>
      <c r="N2" s="65"/>
      <c r="O2" s="65"/>
      <c r="P2" s="523">
        <v>65.2</v>
      </c>
      <c r="Q2" s="58" t="s">
        <v>231</v>
      </c>
      <c r="R2" s="65" t="s">
        <v>252</v>
      </c>
      <c r="S2" s="65"/>
      <c r="T2" s="81" t="s">
        <v>459</v>
      </c>
      <c r="U2" s="64"/>
      <c r="V2" s="19" t="s">
        <v>276</v>
      </c>
      <c r="W2" s="60"/>
      <c r="X2" s="61"/>
      <c r="Y2" s="62" t="str">
        <f>C2</f>
        <v>HP-Steam/Live Steam (T ≥ 400°C ÷ T ≤ 450°C)</v>
      </c>
      <c r="Z2" s="61"/>
      <c r="AA2" s="60"/>
      <c r="AB2" s="60"/>
      <c r="AC2" s="60"/>
      <c r="AD2" s="60"/>
      <c r="AE2" s="60"/>
      <c r="AF2" s="343"/>
      <c r="AG2" s="81" t="s">
        <v>232</v>
      </c>
      <c r="AH2" s="81"/>
      <c r="AI2" s="65"/>
      <c r="AJ2" s="65"/>
      <c r="AK2" s="65"/>
      <c r="AL2" s="523">
        <f>P2</f>
        <v>65.2</v>
      </c>
      <c r="AM2" s="58" t="s">
        <v>231</v>
      </c>
      <c r="AN2" s="65" t="s">
        <v>252</v>
      </c>
      <c r="AO2" s="65"/>
      <c r="AP2" s="81" t="str">
        <f>T2</f>
        <v>EN PN100</v>
      </c>
      <c r="AQ2" s="64"/>
    </row>
    <row r="3" spans="1:43" ht="13.15" customHeight="1" x14ac:dyDescent="0.2">
      <c r="A3" s="63"/>
      <c r="B3" s="61"/>
      <c r="C3" s="62"/>
      <c r="D3" s="61"/>
      <c r="E3" s="60"/>
      <c r="F3" s="60"/>
      <c r="G3" s="60"/>
      <c r="H3" s="60"/>
      <c r="I3" s="60"/>
      <c r="J3" s="59"/>
      <c r="K3" s="100" t="s">
        <v>233</v>
      </c>
      <c r="L3" s="75"/>
      <c r="M3" s="101"/>
      <c r="N3" s="65"/>
      <c r="O3" s="65"/>
      <c r="P3" s="523">
        <v>450</v>
      </c>
      <c r="Q3" s="58" t="s">
        <v>223</v>
      </c>
      <c r="R3" s="76" t="s">
        <v>229</v>
      </c>
      <c r="S3" s="77"/>
      <c r="T3" s="81" t="s">
        <v>227</v>
      </c>
      <c r="U3" s="57"/>
      <c r="V3" s="51"/>
      <c r="W3" s="80"/>
      <c r="X3" s="61"/>
      <c r="Y3" s="62"/>
      <c r="Z3" s="61"/>
      <c r="AA3" s="60"/>
      <c r="AB3" s="60"/>
      <c r="AC3" s="60"/>
      <c r="AD3" s="60"/>
      <c r="AE3" s="60"/>
      <c r="AF3" s="343"/>
      <c r="AG3" s="81" t="s">
        <v>233</v>
      </c>
      <c r="AH3" s="101"/>
      <c r="AI3" s="65"/>
      <c r="AJ3" s="65"/>
      <c r="AK3" s="65"/>
      <c r="AL3" s="523">
        <f>P3</f>
        <v>450</v>
      </c>
      <c r="AM3" s="58" t="s">
        <v>223</v>
      </c>
      <c r="AN3" s="76" t="s">
        <v>229</v>
      </c>
      <c r="AO3" s="77"/>
      <c r="AP3" s="81" t="str">
        <f>T3</f>
        <v>seamless</v>
      </c>
      <c r="AQ3" s="57"/>
    </row>
    <row r="4" spans="1:43" ht="13.15" customHeight="1" thickBot="1" x14ac:dyDescent="0.25">
      <c r="A4" s="56"/>
      <c r="B4" s="55"/>
      <c r="C4" s="55"/>
      <c r="D4" s="54"/>
      <c r="E4" s="53"/>
      <c r="F4" s="53"/>
      <c r="G4" s="53"/>
      <c r="H4" s="14"/>
      <c r="I4" s="14"/>
      <c r="J4" s="52"/>
      <c r="K4" s="60" t="s">
        <v>226</v>
      </c>
      <c r="L4" s="81"/>
      <c r="M4" s="102"/>
      <c r="N4" s="60"/>
      <c r="O4" s="60"/>
      <c r="P4" s="524">
        <v>149.80000000000001</v>
      </c>
      <c r="Q4" s="58" t="s">
        <v>235</v>
      </c>
      <c r="R4" s="82" t="s">
        <v>234</v>
      </c>
      <c r="S4" s="83"/>
      <c r="T4" s="113" t="s">
        <v>474</v>
      </c>
      <c r="U4" s="79"/>
      <c r="V4" s="119"/>
      <c r="W4" s="166"/>
      <c r="X4" s="55"/>
      <c r="Y4" s="55"/>
      <c r="Z4" s="54"/>
      <c r="AA4" s="53"/>
      <c r="AB4" s="53"/>
      <c r="AC4" s="53"/>
      <c r="AD4" s="14"/>
      <c r="AE4" s="14"/>
      <c r="AF4" s="344"/>
      <c r="AG4" s="60" t="s">
        <v>226</v>
      </c>
      <c r="AH4" s="102"/>
      <c r="AI4" s="60"/>
      <c r="AJ4" s="60"/>
      <c r="AK4" s="60"/>
      <c r="AL4" s="525">
        <f>P4</f>
        <v>149.80000000000001</v>
      </c>
      <c r="AM4" s="58" t="s">
        <v>235</v>
      </c>
      <c r="AN4" s="82" t="s">
        <v>234</v>
      </c>
      <c r="AO4" s="83"/>
      <c r="AP4" s="113" t="str">
        <f>T4</f>
        <v>EDHC</v>
      </c>
      <c r="AQ4" s="79"/>
    </row>
    <row r="5" spans="1:43" ht="13.15" customHeight="1" x14ac:dyDescent="0.2">
      <c r="A5" s="51" t="s">
        <v>225</v>
      </c>
      <c r="B5" s="80"/>
      <c r="C5" s="50" t="s">
        <v>224</v>
      </c>
      <c r="D5" s="49" t="s">
        <v>223</v>
      </c>
      <c r="E5" s="48"/>
      <c r="F5" s="47" t="s">
        <v>303</v>
      </c>
      <c r="G5" s="47">
        <v>100</v>
      </c>
      <c r="H5" s="47">
        <v>150</v>
      </c>
      <c r="I5" s="47">
        <v>200</v>
      </c>
      <c r="J5" s="47">
        <v>250</v>
      </c>
      <c r="K5" s="47">
        <v>300</v>
      </c>
      <c r="L5" s="104">
        <v>350</v>
      </c>
      <c r="M5" s="48">
        <v>400</v>
      </c>
      <c r="N5" s="157">
        <v>450</v>
      </c>
      <c r="O5" s="48"/>
      <c r="P5" s="104"/>
      <c r="Q5" s="47"/>
      <c r="R5" s="47"/>
      <c r="S5" s="196"/>
      <c r="T5" s="203"/>
      <c r="U5" s="220"/>
      <c r="V5" s="51" t="s">
        <v>225</v>
      </c>
      <c r="W5" s="80"/>
      <c r="X5" s="80"/>
      <c r="Y5" s="50" t="s">
        <v>224</v>
      </c>
      <c r="Z5" s="49" t="s">
        <v>223</v>
      </c>
      <c r="AA5" s="48"/>
      <c r="AB5" s="47" t="s">
        <v>303</v>
      </c>
      <c r="AC5" s="47">
        <v>100</v>
      </c>
      <c r="AD5" s="47">
        <v>150</v>
      </c>
      <c r="AE5" s="47">
        <v>200</v>
      </c>
      <c r="AF5" s="47">
        <v>250</v>
      </c>
      <c r="AG5" s="47">
        <v>300</v>
      </c>
      <c r="AH5" s="104">
        <v>350</v>
      </c>
      <c r="AI5" s="48">
        <v>400</v>
      </c>
      <c r="AJ5" s="157">
        <v>450</v>
      </c>
      <c r="AK5" s="48"/>
      <c r="AL5" s="104"/>
      <c r="AM5" s="47"/>
      <c r="AN5" s="47"/>
      <c r="AO5" s="196"/>
      <c r="AP5" s="203"/>
      <c r="AQ5" s="220"/>
    </row>
    <row r="6" spans="1:43" ht="20.25" customHeight="1" x14ac:dyDescent="0.2">
      <c r="A6" s="51"/>
      <c r="B6" s="80"/>
      <c r="C6" s="185" t="s">
        <v>285</v>
      </c>
      <c r="D6" s="186" t="s">
        <v>235</v>
      </c>
      <c r="E6" s="187" t="s">
        <v>502</v>
      </c>
      <c r="F6" s="218">
        <v>100</v>
      </c>
      <c r="G6" s="218">
        <v>100</v>
      </c>
      <c r="H6" s="218">
        <v>100</v>
      </c>
      <c r="I6" s="218">
        <v>100</v>
      </c>
      <c r="J6" s="381" t="s">
        <v>550</v>
      </c>
      <c r="K6" s="381" t="s">
        <v>551</v>
      </c>
      <c r="L6" s="382" t="s">
        <v>552</v>
      </c>
      <c r="M6" s="383" t="s">
        <v>553</v>
      </c>
      <c r="N6" s="384" t="s">
        <v>554</v>
      </c>
      <c r="O6" s="852" t="s">
        <v>555</v>
      </c>
      <c r="P6" s="687"/>
      <c r="Q6" s="221"/>
      <c r="R6" s="221"/>
      <c r="S6" s="243"/>
      <c r="T6" s="204"/>
      <c r="U6" s="225"/>
      <c r="V6" s="21"/>
      <c r="X6" s="80"/>
      <c r="Y6" s="185" t="s">
        <v>285</v>
      </c>
      <c r="Z6" s="186" t="s">
        <v>235</v>
      </c>
      <c r="AA6" s="187" t="s">
        <v>502</v>
      </c>
      <c r="AB6" s="218">
        <v>100</v>
      </c>
      <c r="AC6" s="218">
        <v>100</v>
      </c>
      <c r="AD6" s="218">
        <v>100</v>
      </c>
      <c r="AE6" s="218">
        <v>100</v>
      </c>
      <c r="AF6" s="381" t="s">
        <v>550</v>
      </c>
      <c r="AG6" s="381" t="s">
        <v>551</v>
      </c>
      <c r="AH6" s="382" t="s">
        <v>552</v>
      </c>
      <c r="AI6" s="383" t="s">
        <v>553</v>
      </c>
      <c r="AJ6" s="384" t="s">
        <v>554</v>
      </c>
      <c r="AK6" s="852" t="s">
        <v>555</v>
      </c>
      <c r="AL6" s="687"/>
      <c r="AM6" s="221"/>
      <c r="AN6" s="221"/>
      <c r="AO6" s="243"/>
      <c r="AP6" s="204"/>
      <c r="AQ6" s="225"/>
    </row>
    <row r="7" spans="1:43" ht="12.75" customHeight="1" thickBot="1" x14ac:dyDescent="0.25">
      <c r="A7" s="46"/>
      <c r="B7" s="120"/>
      <c r="C7" s="671" t="s">
        <v>284</v>
      </c>
      <c r="D7" s="672"/>
      <c r="E7" s="45"/>
      <c r="F7" s="212"/>
      <c r="G7" s="213"/>
      <c r="H7" s="213"/>
      <c r="I7" s="213"/>
      <c r="J7" s="213"/>
      <c r="K7" s="213"/>
      <c r="L7" s="213"/>
      <c r="M7" s="871" t="s">
        <v>286</v>
      </c>
      <c r="N7" s="872"/>
      <c r="O7" s="872"/>
      <c r="P7" s="872"/>
      <c r="Q7" s="245"/>
      <c r="R7" s="213"/>
      <c r="S7" s="213"/>
      <c r="T7" s="201"/>
      <c r="U7" s="106"/>
      <c r="V7" s="121"/>
      <c r="W7" s="143"/>
      <c r="X7" s="193"/>
      <c r="Y7" s="671" t="s">
        <v>284</v>
      </c>
      <c r="Z7" s="672"/>
      <c r="AA7" s="45"/>
      <c r="AB7" s="212"/>
      <c r="AC7" s="213"/>
      <c r="AD7" s="213"/>
      <c r="AE7" s="213"/>
      <c r="AF7" s="213"/>
      <c r="AG7" s="213"/>
      <c r="AH7" s="213"/>
      <c r="AI7" s="871" t="s">
        <v>286</v>
      </c>
      <c r="AJ7" s="872"/>
      <c r="AK7" s="872"/>
      <c r="AL7" s="872"/>
      <c r="AM7" s="245"/>
      <c r="AN7" s="213"/>
      <c r="AO7" s="213"/>
      <c r="AP7" s="201"/>
      <c r="AQ7" s="106"/>
    </row>
    <row r="8" spans="1:43" ht="13.15" customHeight="1" x14ac:dyDescent="0.2">
      <c r="A8" s="413" t="s">
        <v>633</v>
      </c>
      <c r="B8" s="158" t="s">
        <v>220</v>
      </c>
      <c r="C8" s="200">
        <v>15</v>
      </c>
      <c r="D8" s="38" t="s">
        <v>648</v>
      </c>
      <c r="E8" s="38">
        <v>25</v>
      </c>
      <c r="F8" s="38" t="s">
        <v>649</v>
      </c>
      <c r="G8" s="43">
        <v>40</v>
      </c>
      <c r="H8" s="43">
        <v>50</v>
      </c>
      <c r="I8" s="38" t="s">
        <v>299</v>
      </c>
      <c r="J8" s="43">
        <v>80</v>
      </c>
      <c r="K8" s="43">
        <v>100</v>
      </c>
      <c r="L8" s="43" t="s">
        <v>300</v>
      </c>
      <c r="M8" s="43">
        <v>150</v>
      </c>
      <c r="N8" s="43">
        <v>200</v>
      </c>
      <c r="O8" s="43">
        <v>250</v>
      </c>
      <c r="P8" s="43">
        <v>300</v>
      </c>
      <c r="Q8" s="43">
        <v>350</v>
      </c>
      <c r="R8" s="207">
        <v>400</v>
      </c>
      <c r="S8" s="208">
        <v>450</v>
      </c>
      <c r="T8" s="208">
        <v>500</v>
      </c>
      <c r="U8" s="209">
        <v>600</v>
      </c>
      <c r="V8" s="149"/>
      <c r="W8" s="167"/>
      <c r="X8" s="103"/>
      <c r="Y8" s="103"/>
      <c r="Z8" s="103"/>
      <c r="AA8" s="103"/>
      <c r="AB8" s="103"/>
      <c r="AC8" s="103"/>
      <c r="AD8" s="103"/>
      <c r="AE8" s="103"/>
      <c r="AF8" s="103"/>
      <c r="AG8" s="103"/>
      <c r="AH8" s="103"/>
      <c r="AI8" s="103"/>
      <c r="AJ8" s="103"/>
      <c r="AK8" s="103"/>
      <c r="AL8" s="103"/>
      <c r="AM8" s="103"/>
      <c r="AN8" s="103"/>
      <c r="AO8" s="103"/>
      <c r="AP8" s="103"/>
      <c r="AQ8" s="145"/>
    </row>
    <row r="9" spans="1:43" ht="13.15" customHeight="1" x14ac:dyDescent="0.2">
      <c r="A9" s="416" t="s">
        <v>634</v>
      </c>
      <c r="B9" s="293" t="s">
        <v>222</v>
      </c>
      <c r="C9" s="35">
        <v>21.3</v>
      </c>
      <c r="D9" s="42">
        <v>26.9</v>
      </c>
      <c r="E9" s="34">
        <v>33.700000000000003</v>
      </c>
      <c r="F9" s="34">
        <v>42.4</v>
      </c>
      <c r="G9" s="34">
        <v>48.3</v>
      </c>
      <c r="H9" s="34">
        <v>60.3</v>
      </c>
      <c r="I9" s="34">
        <v>76.099999999999994</v>
      </c>
      <c r="J9" s="34">
        <v>88.9</v>
      </c>
      <c r="K9" s="34">
        <v>114.3</v>
      </c>
      <c r="L9" s="34">
        <v>139.69999999999999</v>
      </c>
      <c r="M9" s="34">
        <v>168.3</v>
      </c>
      <c r="N9" s="34">
        <v>219.1</v>
      </c>
      <c r="O9" s="34">
        <v>273</v>
      </c>
      <c r="P9" s="34">
        <v>323.89999999999998</v>
      </c>
      <c r="Q9" s="34">
        <v>355.6</v>
      </c>
      <c r="R9" s="331">
        <v>406.4</v>
      </c>
      <c r="S9" s="34">
        <v>457</v>
      </c>
      <c r="T9" s="34">
        <v>508</v>
      </c>
      <c r="U9" s="41">
        <v>610</v>
      </c>
      <c r="V9" s="150"/>
      <c r="W9" s="168"/>
      <c r="AQ9" s="89"/>
    </row>
    <row r="10" spans="1:43" ht="13.15" customHeight="1" x14ac:dyDescent="0.2">
      <c r="A10" s="417" t="s">
        <v>635</v>
      </c>
      <c r="B10" s="294" t="s">
        <v>222</v>
      </c>
      <c r="C10" s="238">
        <v>2.6</v>
      </c>
      <c r="D10" s="33"/>
      <c r="E10" s="239">
        <v>2.6</v>
      </c>
      <c r="F10" s="239"/>
      <c r="G10" s="239">
        <v>2.6</v>
      </c>
      <c r="H10" s="239">
        <v>2.9</v>
      </c>
      <c r="I10" s="246"/>
      <c r="J10" s="239">
        <v>4</v>
      </c>
      <c r="K10" s="239">
        <v>5.6</v>
      </c>
      <c r="L10" s="239"/>
      <c r="M10" s="239">
        <v>7.1</v>
      </c>
      <c r="N10" s="239">
        <v>10</v>
      </c>
      <c r="O10" s="239">
        <v>11</v>
      </c>
      <c r="P10" s="239">
        <v>12.5</v>
      </c>
      <c r="Q10" s="239">
        <v>14.2</v>
      </c>
      <c r="R10" s="239">
        <v>16</v>
      </c>
      <c r="S10" s="839" t="s">
        <v>268</v>
      </c>
      <c r="T10" s="865"/>
      <c r="U10" s="866"/>
      <c r="V10" s="151"/>
      <c r="W10" s="169"/>
      <c r="AQ10" s="89"/>
    </row>
    <row r="11" spans="1:43" ht="13.15" customHeight="1" x14ac:dyDescent="0.2">
      <c r="A11" s="84" t="s">
        <v>636</v>
      </c>
      <c r="B11" s="295" t="s">
        <v>236</v>
      </c>
      <c r="C11" s="736" t="s">
        <v>302</v>
      </c>
      <c r="D11" s="850"/>
      <c r="E11" s="850"/>
      <c r="F11" s="850"/>
      <c r="G11" s="850"/>
      <c r="H11" s="850"/>
      <c r="I11" s="850"/>
      <c r="J11" s="850"/>
      <c r="K11" s="850"/>
      <c r="L11" s="850"/>
      <c r="M11" s="850"/>
      <c r="N11" s="850"/>
      <c r="O11" s="850"/>
      <c r="P11" s="850"/>
      <c r="Q11" s="850"/>
      <c r="R11" s="851"/>
      <c r="S11" s="846"/>
      <c r="T11" s="859"/>
      <c r="U11" s="867"/>
      <c r="V11" s="152"/>
      <c r="W11" s="161"/>
      <c r="AQ11" s="89"/>
    </row>
    <row r="12" spans="1:43" ht="13.15" customHeight="1" thickBot="1" x14ac:dyDescent="0.25">
      <c r="A12" s="419" t="s">
        <v>637</v>
      </c>
      <c r="B12" s="296" t="s">
        <v>222</v>
      </c>
      <c r="C12" s="40">
        <f>C9-2*C10</f>
        <v>16.100000000000001</v>
      </c>
      <c r="D12" s="32"/>
      <c r="E12" s="39">
        <f>E9-2*E10</f>
        <v>28.500000000000004</v>
      </c>
      <c r="F12" s="39"/>
      <c r="G12" s="39">
        <f t="shared" ref="G12:R12" si="0">G9-2*G10</f>
        <v>43.099999999999994</v>
      </c>
      <c r="H12" s="39">
        <f t="shared" si="0"/>
        <v>54.5</v>
      </c>
      <c r="I12" s="39"/>
      <c r="J12" s="39">
        <f t="shared" si="0"/>
        <v>80.900000000000006</v>
      </c>
      <c r="K12" s="39">
        <f t="shared" si="0"/>
        <v>103.1</v>
      </c>
      <c r="L12" s="39"/>
      <c r="M12" s="39">
        <f t="shared" si="0"/>
        <v>154.10000000000002</v>
      </c>
      <c r="N12" s="39">
        <f t="shared" si="0"/>
        <v>199.1</v>
      </c>
      <c r="O12" s="39">
        <f t="shared" si="0"/>
        <v>251</v>
      </c>
      <c r="P12" s="39">
        <f t="shared" si="0"/>
        <v>298.89999999999998</v>
      </c>
      <c r="Q12" s="39">
        <f t="shared" si="0"/>
        <v>327.20000000000005</v>
      </c>
      <c r="R12" s="39">
        <f t="shared" si="0"/>
        <v>374.4</v>
      </c>
      <c r="S12" s="868"/>
      <c r="T12" s="869"/>
      <c r="U12" s="870"/>
      <c r="V12" s="153"/>
      <c r="W12" s="170"/>
      <c r="AQ12" s="89"/>
    </row>
    <row r="13" spans="1:43" ht="13.15" customHeight="1" x14ac:dyDescent="0.2">
      <c r="A13" s="413" t="s">
        <v>638</v>
      </c>
      <c r="B13" s="158" t="s">
        <v>220</v>
      </c>
      <c r="C13" s="200">
        <v>15</v>
      </c>
      <c r="D13" s="38" t="s">
        <v>648</v>
      </c>
      <c r="E13" s="38">
        <v>25</v>
      </c>
      <c r="F13" s="38" t="s">
        <v>649</v>
      </c>
      <c r="G13" s="43">
        <v>40</v>
      </c>
      <c r="H13" s="43">
        <v>50</v>
      </c>
      <c r="I13" s="38" t="s">
        <v>299</v>
      </c>
      <c r="J13" s="43">
        <v>80</v>
      </c>
      <c r="K13" s="43">
        <v>100</v>
      </c>
      <c r="L13" s="43" t="s">
        <v>300</v>
      </c>
      <c r="M13" s="43">
        <v>150</v>
      </c>
      <c r="N13" s="43">
        <v>200</v>
      </c>
      <c r="O13" s="43">
        <v>250</v>
      </c>
      <c r="P13" s="43">
        <v>300</v>
      </c>
      <c r="Q13" s="43">
        <v>350</v>
      </c>
      <c r="R13" s="207">
        <v>400</v>
      </c>
      <c r="S13" s="208">
        <v>450</v>
      </c>
      <c r="T13" s="208">
        <v>500</v>
      </c>
      <c r="U13" s="209">
        <v>600</v>
      </c>
      <c r="V13" s="154"/>
      <c r="W13" s="171"/>
      <c r="AQ13" s="89"/>
    </row>
    <row r="14" spans="1:43" ht="13.15" customHeight="1" x14ac:dyDescent="0.2">
      <c r="A14" s="416" t="s">
        <v>639</v>
      </c>
      <c r="B14" s="297" t="s">
        <v>222</v>
      </c>
      <c r="C14" s="35">
        <v>21.3</v>
      </c>
      <c r="D14" s="34">
        <v>26.9</v>
      </c>
      <c r="E14" s="34">
        <v>33.700000000000003</v>
      </c>
      <c r="F14" s="34">
        <v>42.4</v>
      </c>
      <c r="G14" s="34">
        <v>48.3</v>
      </c>
      <c r="H14" s="34">
        <v>60.3</v>
      </c>
      <c r="I14" s="34">
        <v>76.099999999999994</v>
      </c>
      <c r="J14" s="34">
        <v>88.9</v>
      </c>
      <c r="K14" s="34">
        <v>114.3</v>
      </c>
      <c r="L14" s="34">
        <v>139.69999999999999</v>
      </c>
      <c r="M14" s="34">
        <v>168.3</v>
      </c>
      <c r="N14" s="34">
        <v>219.1</v>
      </c>
      <c r="O14" s="34">
        <v>273</v>
      </c>
      <c r="P14" s="34">
        <v>323.89999999999998</v>
      </c>
      <c r="Q14" s="328">
        <v>355.6</v>
      </c>
      <c r="R14" s="332">
        <v>406.4</v>
      </c>
      <c r="S14" s="34">
        <v>457</v>
      </c>
      <c r="T14" s="34">
        <v>508</v>
      </c>
      <c r="U14" s="41">
        <v>610</v>
      </c>
      <c r="V14" s="150"/>
      <c r="W14" s="168"/>
      <c r="AQ14" s="89"/>
    </row>
    <row r="15" spans="1:43" ht="13.15" customHeight="1" x14ac:dyDescent="0.2">
      <c r="A15" s="417" t="s">
        <v>640</v>
      </c>
      <c r="B15" s="294" t="s">
        <v>222</v>
      </c>
      <c r="C15" s="238">
        <v>2.6</v>
      </c>
      <c r="D15" s="33"/>
      <c r="E15" s="239">
        <v>2.6</v>
      </c>
      <c r="F15" s="239"/>
      <c r="G15" s="239">
        <v>2.6</v>
      </c>
      <c r="H15" s="239">
        <v>2.9</v>
      </c>
      <c r="I15" s="239"/>
      <c r="J15" s="239">
        <v>4</v>
      </c>
      <c r="K15" s="239">
        <v>6.3</v>
      </c>
      <c r="L15" s="239"/>
      <c r="M15" s="239">
        <v>7.1</v>
      </c>
      <c r="N15" s="239">
        <v>12.5</v>
      </c>
      <c r="O15" s="239">
        <v>12.5</v>
      </c>
      <c r="P15" s="239">
        <v>12.5</v>
      </c>
      <c r="Q15" s="330">
        <v>16</v>
      </c>
      <c r="R15" s="333">
        <v>17.5</v>
      </c>
      <c r="S15" s="839" t="s">
        <v>268</v>
      </c>
      <c r="T15" s="840"/>
      <c r="U15" s="841"/>
      <c r="V15" s="151"/>
      <c r="W15" s="169"/>
      <c r="AQ15" s="89"/>
    </row>
    <row r="16" spans="1:43" ht="13.15" customHeight="1" thickBot="1" x14ac:dyDescent="0.25">
      <c r="A16" s="419" t="s">
        <v>641</v>
      </c>
      <c r="B16" s="296" t="s">
        <v>222</v>
      </c>
      <c r="C16" s="316">
        <v>3</v>
      </c>
      <c r="D16" s="32"/>
      <c r="E16" s="317">
        <v>3</v>
      </c>
      <c r="F16" s="317"/>
      <c r="G16" s="317" t="s">
        <v>543</v>
      </c>
      <c r="H16" s="317">
        <v>2</v>
      </c>
      <c r="I16" s="317"/>
      <c r="J16" s="317">
        <v>3</v>
      </c>
      <c r="K16" s="317">
        <v>4</v>
      </c>
      <c r="L16" s="317"/>
      <c r="M16" s="317">
        <v>4</v>
      </c>
      <c r="N16" s="317">
        <v>5</v>
      </c>
      <c r="O16" s="317">
        <v>5</v>
      </c>
      <c r="P16" s="317">
        <v>5</v>
      </c>
      <c r="Q16" s="245">
        <v>5</v>
      </c>
      <c r="R16" s="334">
        <v>5</v>
      </c>
      <c r="S16" s="843"/>
      <c r="T16" s="844"/>
      <c r="U16" s="845"/>
      <c r="V16" s="21"/>
      <c r="AO16"/>
      <c r="AQ16" s="89"/>
    </row>
    <row r="17" spans="1:43" ht="13.15" customHeight="1" x14ac:dyDescent="0.2">
      <c r="A17" s="31" t="s">
        <v>221</v>
      </c>
      <c r="B17" s="422"/>
      <c r="C17" s="631" t="s">
        <v>220</v>
      </c>
      <c r="D17" s="632"/>
      <c r="E17" s="633" t="s">
        <v>197</v>
      </c>
      <c r="F17" s="634"/>
      <c r="G17" s="634"/>
      <c r="H17" s="634"/>
      <c r="I17" s="634"/>
      <c r="J17" s="634"/>
      <c r="K17" s="635" t="s">
        <v>241</v>
      </c>
      <c r="L17" s="634"/>
      <c r="M17" s="634"/>
      <c r="N17" s="636"/>
      <c r="O17" s="656" t="s">
        <v>243</v>
      </c>
      <c r="P17" s="656" t="s">
        <v>242</v>
      </c>
      <c r="Q17" s="637" t="s">
        <v>244</v>
      </c>
      <c r="R17" s="638"/>
      <c r="S17" s="633" t="s">
        <v>245</v>
      </c>
      <c r="T17" s="639"/>
      <c r="U17" s="640"/>
      <c r="V17" s="21"/>
      <c r="AO17"/>
      <c r="AQ17" s="89"/>
    </row>
    <row r="18" spans="1:43" ht="13.15" customHeight="1" x14ac:dyDescent="0.2">
      <c r="A18" s="20"/>
      <c r="B18" s="424"/>
      <c r="C18" s="30" t="s">
        <v>219</v>
      </c>
      <c r="D18" s="30" t="s">
        <v>218</v>
      </c>
      <c r="E18" s="554"/>
      <c r="F18" s="555"/>
      <c r="G18" s="555"/>
      <c r="H18" s="555"/>
      <c r="I18" s="555"/>
      <c r="J18" s="555"/>
      <c r="K18" s="558"/>
      <c r="L18" s="555"/>
      <c r="M18" s="555"/>
      <c r="N18" s="556"/>
      <c r="O18" s="555"/>
      <c r="P18" s="555"/>
      <c r="Q18" s="555"/>
      <c r="R18" s="555"/>
      <c r="S18" s="641"/>
      <c r="T18" s="642"/>
      <c r="U18" s="643"/>
      <c r="V18" s="172"/>
      <c r="W18" s="168"/>
      <c r="X18" s="659" t="s">
        <v>288</v>
      </c>
      <c r="Y18" s="670"/>
      <c r="Z18" s="670"/>
      <c r="AA18" s="670"/>
      <c r="AB18" s="670"/>
      <c r="AC18" s="670"/>
      <c r="AD18" s="670"/>
      <c r="AE18" s="670"/>
      <c r="AF18" s="670"/>
      <c r="AG18" s="670"/>
      <c r="AH18" s="670"/>
      <c r="AI18" s="670"/>
      <c r="AJ18" s="670"/>
      <c r="AK18" s="670"/>
      <c r="AL18" s="670"/>
      <c r="AM18" s="670"/>
      <c r="AN18" s="670"/>
      <c r="AO18" s="660"/>
      <c r="AP18" s="660"/>
      <c r="AQ18" s="89"/>
    </row>
    <row r="19" spans="1:43" ht="13.15" customHeight="1" x14ac:dyDescent="0.2">
      <c r="A19" s="19" t="s">
        <v>217</v>
      </c>
      <c r="B19" s="60"/>
      <c r="C19" s="24">
        <v>15</v>
      </c>
      <c r="D19" s="24">
        <v>50</v>
      </c>
      <c r="E19" s="561" t="s">
        <v>497</v>
      </c>
      <c r="F19" s="562"/>
      <c r="G19" s="562"/>
      <c r="H19" s="562"/>
      <c r="I19" s="562"/>
      <c r="J19" s="563"/>
      <c r="K19" s="564" t="s">
        <v>537</v>
      </c>
      <c r="L19" s="855"/>
      <c r="M19" s="855"/>
      <c r="N19" s="856"/>
      <c r="O19" s="97" t="s">
        <v>236</v>
      </c>
      <c r="P19" s="97" t="s">
        <v>485</v>
      </c>
      <c r="Q19" s="651" t="s">
        <v>304</v>
      </c>
      <c r="R19" s="626"/>
      <c r="S19" s="93"/>
      <c r="U19" s="89"/>
      <c r="V19" s="657" t="s">
        <v>274</v>
      </c>
      <c r="W19" s="1">
        <v>15</v>
      </c>
      <c r="X19" s="139" t="s">
        <v>396</v>
      </c>
      <c r="Y19" s="137"/>
      <c r="Z19" s="137"/>
      <c r="AA19" s="137"/>
      <c r="AB19" s="137"/>
      <c r="AC19" s="137"/>
      <c r="AD19" s="137"/>
      <c r="AE19" s="137"/>
      <c r="AF19" s="137"/>
      <c r="AG19" s="137"/>
      <c r="AH19" s="137"/>
      <c r="AI19" s="137"/>
      <c r="AJ19" s="137"/>
      <c r="AK19" s="137"/>
      <c r="AL19" s="138"/>
      <c r="AM19" s="138"/>
      <c r="AQ19" s="89"/>
    </row>
    <row r="20" spans="1:43" ht="13.15" customHeight="1" x14ac:dyDescent="0.2">
      <c r="A20" s="19"/>
      <c r="B20" s="60"/>
      <c r="C20" s="24">
        <v>65</v>
      </c>
      <c r="D20" s="24">
        <v>400</v>
      </c>
      <c r="E20" s="583" t="s">
        <v>496</v>
      </c>
      <c r="F20" s="549"/>
      <c r="G20" s="549"/>
      <c r="H20" s="549"/>
      <c r="I20" s="549"/>
      <c r="J20" s="550"/>
      <c r="K20" s="584" t="s">
        <v>537</v>
      </c>
      <c r="L20" s="857"/>
      <c r="M20" s="857"/>
      <c r="N20" s="858"/>
      <c r="O20" s="98" t="s">
        <v>236</v>
      </c>
      <c r="P20" s="98" t="s">
        <v>484</v>
      </c>
      <c r="Q20" s="652" t="s">
        <v>304</v>
      </c>
      <c r="R20" s="586"/>
      <c r="S20" s="93"/>
      <c r="U20" s="89"/>
      <c r="V20" s="824"/>
      <c r="W20" s="227" t="s">
        <v>642</v>
      </c>
      <c r="X20" s="139"/>
      <c r="Y20" s="139"/>
      <c r="Z20" s="501"/>
      <c r="AA20" s="137"/>
      <c r="AB20" s="137"/>
      <c r="AC20" s="137"/>
      <c r="AD20" s="137"/>
      <c r="AE20" s="137"/>
      <c r="AF20" s="137"/>
      <c r="AG20" s="137"/>
      <c r="AH20" s="137"/>
      <c r="AI20" s="137"/>
      <c r="AJ20" s="137"/>
      <c r="AK20" s="137"/>
      <c r="AL20" s="137"/>
      <c r="AM20" s="138"/>
      <c r="AN20" s="138"/>
      <c r="AO20"/>
      <c r="AQ20" s="89"/>
    </row>
    <row r="21" spans="1:43" ht="13.15" customHeight="1" x14ac:dyDescent="0.2">
      <c r="A21" s="19"/>
      <c r="B21" s="60"/>
      <c r="C21" s="24"/>
      <c r="D21" s="24"/>
      <c r="E21" s="583"/>
      <c r="F21" s="549"/>
      <c r="G21" s="549"/>
      <c r="H21" s="549"/>
      <c r="I21" s="549"/>
      <c r="J21" s="550"/>
      <c r="K21" s="584"/>
      <c r="L21" s="549"/>
      <c r="M21" s="549"/>
      <c r="N21" s="550"/>
      <c r="O21" s="98"/>
      <c r="P21" s="98"/>
      <c r="Q21" s="652"/>
      <c r="R21" s="586"/>
      <c r="S21" s="88"/>
      <c r="U21" s="89"/>
      <c r="V21" s="824"/>
      <c r="W21" s="118">
        <v>25</v>
      </c>
      <c r="X21" s="139" t="s">
        <v>396</v>
      </c>
      <c r="Y21" s="139"/>
      <c r="Z21" s="139" t="s">
        <v>407</v>
      </c>
      <c r="AA21" s="137"/>
      <c r="AB21" s="137"/>
      <c r="AC21" s="137"/>
      <c r="AD21" s="137"/>
      <c r="AE21" s="137"/>
      <c r="AF21" s="137"/>
      <c r="AG21" s="137"/>
      <c r="AH21" s="137"/>
      <c r="AI21" s="137"/>
      <c r="AJ21" s="137"/>
      <c r="AK21" s="137"/>
      <c r="AL21" s="137"/>
      <c r="AM21" s="138"/>
      <c r="AN21" s="138"/>
      <c r="AO21"/>
      <c r="AQ21" s="89"/>
    </row>
    <row r="22" spans="1:43" ht="13.15" customHeight="1" x14ac:dyDescent="0.2">
      <c r="A22" s="19"/>
      <c r="B22" s="60"/>
      <c r="C22" s="24"/>
      <c r="D22" s="24"/>
      <c r="E22" s="583"/>
      <c r="F22" s="549"/>
      <c r="G22" s="549"/>
      <c r="H22" s="549"/>
      <c r="I22" s="549"/>
      <c r="J22" s="550"/>
      <c r="K22" s="584"/>
      <c r="L22" s="549"/>
      <c r="M22" s="549"/>
      <c r="N22" s="550"/>
      <c r="O22" s="98"/>
      <c r="P22" s="98"/>
      <c r="Q22" s="652"/>
      <c r="R22" s="586"/>
      <c r="S22" s="88"/>
      <c r="U22" s="89"/>
      <c r="V22" s="824"/>
      <c r="W22" s="227" t="s">
        <v>643</v>
      </c>
      <c r="X22" s="139"/>
      <c r="Y22" s="139"/>
      <c r="Z22" s="139"/>
      <c r="AA22" s="139"/>
      <c r="AB22" s="501"/>
      <c r="AC22" s="137"/>
      <c r="AD22" s="137"/>
      <c r="AE22" s="137"/>
      <c r="AF22" s="137"/>
      <c r="AG22" s="137"/>
      <c r="AH22" s="137"/>
      <c r="AI22" s="137"/>
      <c r="AJ22" s="137"/>
      <c r="AK22" s="137"/>
      <c r="AL22" s="137"/>
      <c r="AM22" s="137"/>
      <c r="AN22" s="138"/>
      <c r="AO22" s="138"/>
      <c r="AP22"/>
      <c r="AQ22" s="89"/>
    </row>
    <row r="23" spans="1:43" ht="13.15" customHeight="1" x14ac:dyDescent="0.2">
      <c r="A23" s="19"/>
      <c r="B23" s="60"/>
      <c r="C23" s="24"/>
      <c r="D23" s="24"/>
      <c r="E23" s="155"/>
      <c r="F23" s="160"/>
      <c r="G23" s="160"/>
      <c r="H23" s="160"/>
      <c r="I23" s="160"/>
      <c r="J23" s="181"/>
      <c r="K23" s="182"/>
      <c r="L23" s="160"/>
      <c r="M23" s="160"/>
      <c r="N23" s="181"/>
      <c r="O23" s="98"/>
      <c r="P23" s="98"/>
      <c r="Q23" s="183"/>
      <c r="R23" s="161"/>
      <c r="S23" s="88"/>
      <c r="U23" s="89"/>
      <c r="V23" s="824"/>
      <c r="W23" s="118">
        <v>40</v>
      </c>
      <c r="X23" s="139" t="s">
        <v>396</v>
      </c>
      <c r="Y23" s="139"/>
      <c r="Z23" s="139" t="s">
        <v>396</v>
      </c>
      <c r="AA23" s="139"/>
      <c r="AB23" s="139" t="s">
        <v>396</v>
      </c>
      <c r="AC23" s="137"/>
      <c r="AD23" s="137"/>
      <c r="AE23" s="137"/>
      <c r="AF23" s="137"/>
      <c r="AG23" s="137"/>
      <c r="AH23" s="137"/>
      <c r="AI23" s="137"/>
      <c r="AJ23" s="137"/>
      <c r="AK23" s="137"/>
      <c r="AL23" s="137"/>
      <c r="AM23" s="137"/>
      <c r="AN23" s="138"/>
      <c r="AO23" s="138"/>
      <c r="AP23"/>
      <c r="AQ23" s="89"/>
    </row>
    <row r="24" spans="1:43" ht="13.15" customHeight="1" x14ac:dyDescent="0.2">
      <c r="A24" s="26" t="s">
        <v>298</v>
      </c>
      <c r="B24" s="435"/>
      <c r="C24" s="29" t="s">
        <v>302</v>
      </c>
      <c r="D24" s="25" t="s">
        <v>302</v>
      </c>
      <c r="E24" s="653" t="s">
        <v>495</v>
      </c>
      <c r="F24" s="654"/>
      <c r="G24" s="654"/>
      <c r="H24" s="654"/>
      <c r="I24" s="654"/>
      <c r="J24" s="655"/>
      <c r="K24" s="699" t="s">
        <v>537</v>
      </c>
      <c r="L24" s="654"/>
      <c r="M24" s="654"/>
      <c r="N24" s="655"/>
      <c r="O24" s="249" t="s">
        <v>236</v>
      </c>
      <c r="P24" s="249" t="s">
        <v>485</v>
      </c>
      <c r="Q24" s="697" t="s">
        <v>304</v>
      </c>
      <c r="R24" s="701"/>
      <c r="S24" s="109"/>
      <c r="T24" s="91"/>
      <c r="U24" s="92"/>
      <c r="V24" s="824"/>
      <c r="W24" s="1">
        <v>50</v>
      </c>
      <c r="X24" s="139" t="s">
        <v>410</v>
      </c>
      <c r="Y24" s="139"/>
      <c r="Z24" s="139" t="s">
        <v>407</v>
      </c>
      <c r="AA24" s="139"/>
      <c r="AB24" s="139" t="s">
        <v>407</v>
      </c>
      <c r="AC24" s="139" t="s">
        <v>407</v>
      </c>
      <c r="AD24" s="137"/>
      <c r="AE24" s="137"/>
      <c r="AF24" s="137"/>
      <c r="AG24" s="137"/>
      <c r="AH24" s="137"/>
      <c r="AI24" s="137"/>
      <c r="AJ24" s="137"/>
      <c r="AK24" s="137"/>
      <c r="AL24" s="137"/>
      <c r="AM24" s="137"/>
      <c r="AN24" s="138"/>
      <c r="AO24" s="138"/>
      <c r="AP24"/>
      <c r="AQ24" s="89"/>
    </row>
    <row r="25" spans="1:43" ht="13.15" customHeight="1" x14ac:dyDescent="0.2">
      <c r="A25" s="19" t="s">
        <v>297</v>
      </c>
      <c r="B25" s="60"/>
      <c r="C25" s="235">
        <v>15</v>
      </c>
      <c r="D25" s="242">
        <v>15</v>
      </c>
      <c r="E25" s="644" t="s">
        <v>503</v>
      </c>
      <c r="F25" s="645"/>
      <c r="G25" s="645"/>
      <c r="H25" s="645"/>
      <c r="I25" s="645"/>
      <c r="J25" s="646"/>
      <c r="K25" s="700" t="s">
        <v>677</v>
      </c>
      <c r="L25" s="645"/>
      <c r="M25" s="645"/>
      <c r="N25" s="646"/>
      <c r="O25" s="98" t="s">
        <v>236</v>
      </c>
      <c r="P25" s="98" t="s">
        <v>246</v>
      </c>
      <c r="Q25" s="647" t="s">
        <v>306</v>
      </c>
      <c r="R25" s="723"/>
      <c r="S25" s="93"/>
      <c r="U25" s="89"/>
      <c r="V25" s="824"/>
      <c r="W25" s="227" t="s">
        <v>295</v>
      </c>
      <c r="X25" s="139"/>
      <c r="Y25" s="139"/>
      <c r="Z25" s="139"/>
      <c r="AA25" s="139"/>
      <c r="AB25" s="139"/>
      <c r="AC25" s="139"/>
      <c r="AD25" s="139"/>
      <c r="AE25" s="147"/>
      <c r="AF25" s="137"/>
      <c r="AG25" s="137"/>
      <c r="AH25" s="137"/>
      <c r="AI25" s="137"/>
      <c r="AJ25" s="137"/>
      <c r="AK25" s="137"/>
      <c r="AL25" s="137"/>
      <c r="AM25" s="137"/>
      <c r="AN25" s="137"/>
      <c r="AO25" s="138"/>
      <c r="AP25" s="138"/>
      <c r="AQ25" s="89"/>
    </row>
    <row r="26" spans="1:43" ht="13.15" customHeight="1" x14ac:dyDescent="0.2">
      <c r="A26" s="19"/>
      <c r="B26" s="60"/>
      <c r="C26" s="24">
        <v>25</v>
      </c>
      <c r="D26" s="23">
        <v>300</v>
      </c>
      <c r="E26" s="583" t="s">
        <v>503</v>
      </c>
      <c r="F26" s="549"/>
      <c r="G26" s="549"/>
      <c r="H26" s="549"/>
      <c r="I26" s="549"/>
      <c r="J26" s="550"/>
      <c r="K26" s="584" t="s">
        <v>677</v>
      </c>
      <c r="L26" s="549"/>
      <c r="M26" s="549"/>
      <c r="N26" s="550"/>
      <c r="O26" s="98" t="s">
        <v>236</v>
      </c>
      <c r="P26" s="98" t="s">
        <v>246</v>
      </c>
      <c r="Q26" s="585" t="s">
        <v>307</v>
      </c>
      <c r="R26" s="615"/>
      <c r="S26" s="93"/>
      <c r="U26" s="89"/>
      <c r="V26" s="824"/>
      <c r="W26" s="1">
        <v>80</v>
      </c>
      <c r="X26" s="139" t="s">
        <v>410</v>
      </c>
      <c r="Y26" s="139"/>
      <c r="Z26" s="139" t="s">
        <v>421</v>
      </c>
      <c r="AA26" s="139"/>
      <c r="AB26" s="139" t="s">
        <v>396</v>
      </c>
      <c r="AC26" s="139" t="s">
        <v>396</v>
      </c>
      <c r="AD26" s="139"/>
      <c r="AE26" s="139" t="s">
        <v>396</v>
      </c>
      <c r="AF26" s="137"/>
      <c r="AG26" s="137"/>
      <c r="AH26" s="137"/>
      <c r="AI26" s="137"/>
      <c r="AJ26" s="137"/>
      <c r="AK26" s="137"/>
      <c r="AL26" s="137"/>
      <c r="AM26" s="137"/>
      <c r="AN26" s="137"/>
      <c r="AO26" s="138"/>
      <c r="AP26" s="138"/>
      <c r="AQ26" s="89"/>
    </row>
    <row r="27" spans="1:43" ht="13.15" customHeight="1" x14ac:dyDescent="0.2">
      <c r="A27" s="19"/>
      <c r="B27" s="60"/>
      <c r="C27" s="24">
        <v>200</v>
      </c>
      <c r="D27" s="24">
        <v>400</v>
      </c>
      <c r="E27" s="583" t="s">
        <v>505</v>
      </c>
      <c r="F27" s="549"/>
      <c r="G27" s="549"/>
      <c r="H27" s="549"/>
      <c r="I27" s="549"/>
      <c r="J27" s="550"/>
      <c r="K27" s="584" t="s">
        <v>677</v>
      </c>
      <c r="L27" s="549"/>
      <c r="M27" s="549"/>
      <c r="N27" s="550"/>
      <c r="O27" s="98" t="s">
        <v>236</v>
      </c>
      <c r="P27" s="98" t="s">
        <v>246</v>
      </c>
      <c r="Q27" s="585" t="s">
        <v>307</v>
      </c>
      <c r="R27" s="615"/>
      <c r="S27" s="93" t="s">
        <v>362</v>
      </c>
      <c r="U27" s="89"/>
      <c r="V27" s="824"/>
      <c r="W27" s="1">
        <v>100</v>
      </c>
      <c r="X27" s="139" t="s">
        <v>410</v>
      </c>
      <c r="Y27" s="139"/>
      <c r="Z27" s="139" t="s">
        <v>421</v>
      </c>
      <c r="AA27" s="139"/>
      <c r="AB27" s="139" t="s">
        <v>397</v>
      </c>
      <c r="AC27" s="139" t="s">
        <v>397</v>
      </c>
      <c r="AD27" s="139"/>
      <c r="AE27" s="139" t="s">
        <v>397</v>
      </c>
      <c r="AF27" s="139" t="s">
        <v>397</v>
      </c>
      <c r="AG27" s="137"/>
      <c r="AH27" s="137"/>
      <c r="AI27" s="137"/>
      <c r="AJ27" s="137"/>
      <c r="AK27" s="137"/>
      <c r="AL27" s="137"/>
      <c r="AM27" s="137"/>
      <c r="AN27" s="137"/>
      <c r="AO27" s="138"/>
      <c r="AP27" s="138"/>
      <c r="AQ27" s="89"/>
    </row>
    <row r="28" spans="1:43" ht="13.15" customHeight="1" x14ac:dyDescent="0.2">
      <c r="A28" s="20"/>
      <c r="B28" s="424"/>
      <c r="C28" s="28"/>
      <c r="D28" s="27"/>
      <c r="E28" s="320"/>
      <c r="F28" s="124"/>
      <c r="G28" s="124"/>
      <c r="H28" s="124"/>
      <c r="I28" s="124"/>
      <c r="J28" s="354"/>
      <c r="K28" s="321"/>
      <c r="L28" s="124"/>
      <c r="M28" s="124"/>
      <c r="N28" s="354"/>
      <c r="O28" s="110"/>
      <c r="P28" s="110"/>
      <c r="Q28" s="80"/>
      <c r="R28" s="80"/>
      <c r="S28" s="94"/>
      <c r="T28" s="95"/>
      <c r="U28" s="96"/>
      <c r="V28" s="824"/>
      <c r="W28" s="227" t="s">
        <v>296</v>
      </c>
      <c r="X28" s="139"/>
      <c r="Y28" s="139"/>
      <c r="Z28" s="139"/>
      <c r="AA28" s="136"/>
      <c r="AB28" s="136"/>
      <c r="AC28" s="139"/>
      <c r="AD28" s="139"/>
      <c r="AE28" s="139"/>
      <c r="AF28" s="139"/>
      <c r="AG28" s="139"/>
      <c r="AH28" s="137"/>
      <c r="AI28" s="137"/>
      <c r="AJ28" s="137"/>
      <c r="AK28" s="137"/>
      <c r="AL28" s="137"/>
      <c r="AM28" s="137"/>
      <c r="AN28" s="137"/>
      <c r="AO28" s="138"/>
      <c r="AP28" s="138"/>
      <c r="AQ28" s="89"/>
    </row>
    <row r="29" spans="1:43" ht="13.15" customHeight="1" x14ac:dyDescent="0.2">
      <c r="A29" s="19" t="s">
        <v>249</v>
      </c>
      <c r="B29" s="60"/>
      <c r="C29" s="24">
        <v>15</v>
      </c>
      <c r="D29" s="25">
        <v>400</v>
      </c>
      <c r="E29" s="561" t="s">
        <v>271</v>
      </c>
      <c r="F29" s="562"/>
      <c r="G29" s="562"/>
      <c r="H29" s="562"/>
      <c r="I29" s="562"/>
      <c r="J29" s="563"/>
      <c r="K29" s="564" t="s">
        <v>677</v>
      </c>
      <c r="L29" s="562"/>
      <c r="M29" s="562"/>
      <c r="N29" s="563"/>
      <c r="O29" s="97"/>
      <c r="P29" s="97" t="s">
        <v>246</v>
      </c>
      <c r="Q29" s="565" t="s">
        <v>307</v>
      </c>
      <c r="R29" s="566"/>
      <c r="S29" s="694" t="s">
        <v>548</v>
      </c>
      <c r="T29" s="91"/>
      <c r="U29" s="92"/>
      <c r="V29" s="824"/>
      <c r="W29" s="1">
        <v>150</v>
      </c>
      <c r="X29" s="139" t="s">
        <v>389</v>
      </c>
      <c r="Y29" s="139"/>
      <c r="Z29" s="139" t="s">
        <v>394</v>
      </c>
      <c r="AA29" s="136"/>
      <c r="AB29" s="139" t="s">
        <v>427</v>
      </c>
      <c r="AC29" s="136" t="s">
        <v>463</v>
      </c>
      <c r="AD29" s="139"/>
      <c r="AE29" s="139" t="s">
        <v>397</v>
      </c>
      <c r="AF29" s="139" t="s">
        <v>397</v>
      </c>
      <c r="AG29" s="139"/>
      <c r="AH29" s="139" t="s">
        <v>397</v>
      </c>
      <c r="AI29" s="137"/>
      <c r="AJ29" s="137"/>
      <c r="AK29" s="137"/>
      <c r="AL29" s="137"/>
      <c r="AM29" s="289"/>
      <c r="AN29" s="137"/>
      <c r="AO29" s="138"/>
      <c r="AP29" s="138"/>
      <c r="AQ29" s="89"/>
    </row>
    <row r="30" spans="1:43" ht="13.15" customHeight="1" thickBot="1" x14ac:dyDescent="0.25">
      <c r="A30" s="19" t="s">
        <v>250</v>
      </c>
      <c r="B30" s="60"/>
      <c r="C30" s="210" t="s">
        <v>236</v>
      </c>
      <c r="D30" s="210" t="s">
        <v>236</v>
      </c>
      <c r="E30" s="583" t="s">
        <v>325</v>
      </c>
      <c r="F30" s="549"/>
      <c r="G30" s="549"/>
      <c r="H30" s="549"/>
      <c r="I30" s="549"/>
      <c r="J30" s="550"/>
      <c r="K30" s="584" t="s">
        <v>537</v>
      </c>
      <c r="L30" s="549"/>
      <c r="M30" s="549"/>
      <c r="N30" s="550"/>
      <c r="O30" s="98" t="s">
        <v>236</v>
      </c>
      <c r="P30" s="98" t="s">
        <v>246</v>
      </c>
      <c r="Q30" s="585" t="s">
        <v>347</v>
      </c>
      <c r="R30" s="615"/>
      <c r="S30" s="853"/>
      <c r="U30" s="89"/>
      <c r="V30" s="824"/>
      <c r="W30" s="1">
        <v>200</v>
      </c>
      <c r="X30" s="141" t="s">
        <v>389</v>
      </c>
      <c r="Y30" s="141"/>
      <c r="Z30" s="141" t="s">
        <v>394</v>
      </c>
      <c r="AA30" s="140"/>
      <c r="AB30" s="141" t="s">
        <v>427</v>
      </c>
      <c r="AC30" s="141" t="s">
        <v>405</v>
      </c>
      <c r="AD30" s="140"/>
      <c r="AE30" s="141" t="s">
        <v>398</v>
      </c>
      <c r="AF30" s="141" t="s">
        <v>398</v>
      </c>
      <c r="AG30" s="141"/>
      <c r="AH30" s="141" t="s">
        <v>398</v>
      </c>
      <c r="AI30" s="141" t="s">
        <v>398</v>
      </c>
      <c r="AJ30" s="137"/>
      <c r="AK30" s="137"/>
      <c r="AL30" s="137"/>
      <c r="AM30" s="502" t="s">
        <v>710</v>
      </c>
      <c r="AN30" s="137"/>
      <c r="AO30" s="138"/>
      <c r="AP30" s="138"/>
      <c r="AQ30" s="89"/>
    </row>
    <row r="31" spans="1:43" ht="13.15" customHeight="1" x14ac:dyDescent="0.2">
      <c r="A31" s="19"/>
      <c r="B31" s="60"/>
      <c r="C31" s="210"/>
      <c r="D31" s="210"/>
      <c r="E31" s="155"/>
      <c r="F31" s="160"/>
      <c r="G31" s="160"/>
      <c r="H31" s="160"/>
      <c r="I31" s="160"/>
      <c r="J31" s="181"/>
      <c r="K31" s="182"/>
      <c r="L31" s="160"/>
      <c r="M31" s="160"/>
      <c r="N31" s="181"/>
      <c r="O31" s="98"/>
      <c r="P31" s="98"/>
      <c r="Q31" s="347"/>
      <c r="R31" s="348"/>
      <c r="S31" s="853"/>
      <c r="U31" s="89"/>
      <c r="V31" s="824"/>
      <c r="W31" s="1">
        <v>250</v>
      </c>
      <c r="X31" s="494" t="s">
        <v>389</v>
      </c>
      <c r="Y31" s="494"/>
      <c r="Z31" s="494" t="s">
        <v>402</v>
      </c>
      <c r="AA31" s="495"/>
      <c r="AB31" s="494" t="s">
        <v>404</v>
      </c>
      <c r="AC31" s="494" t="s">
        <v>405</v>
      </c>
      <c r="AD31" s="495"/>
      <c r="AE31" s="506" t="s">
        <v>682</v>
      </c>
      <c r="AF31" s="494" t="s">
        <v>398</v>
      </c>
      <c r="AG31" s="494"/>
      <c r="AH31" s="494" t="s">
        <v>398</v>
      </c>
      <c r="AI31" s="494" t="s">
        <v>398</v>
      </c>
      <c r="AJ31" s="494" t="s">
        <v>398</v>
      </c>
      <c r="AK31" s="504"/>
      <c r="AL31" s="496"/>
      <c r="AM31" s="505" t="s">
        <v>709</v>
      </c>
      <c r="AN31" s="496"/>
      <c r="AO31" s="138"/>
      <c r="AP31" s="138"/>
      <c r="AQ31" s="89"/>
    </row>
    <row r="32" spans="1:43" ht="13.15" customHeight="1" x14ac:dyDescent="0.2">
      <c r="A32" s="19"/>
      <c r="B32" s="60"/>
      <c r="C32" s="210"/>
      <c r="D32" s="210"/>
      <c r="E32" s="155"/>
      <c r="F32" s="160"/>
      <c r="G32" s="160"/>
      <c r="H32" s="160"/>
      <c r="I32" s="160"/>
      <c r="J32" s="181"/>
      <c r="K32" s="182"/>
      <c r="L32" s="160"/>
      <c r="M32" s="160"/>
      <c r="N32" s="181"/>
      <c r="O32" s="98"/>
      <c r="P32" s="98"/>
      <c r="Q32" s="347"/>
      <c r="R32" s="348"/>
      <c r="S32" s="853"/>
      <c r="U32" s="89"/>
      <c r="V32" s="824"/>
      <c r="W32" s="1">
        <v>300</v>
      </c>
      <c r="X32" s="139" t="s">
        <v>401</v>
      </c>
      <c r="Y32" s="139"/>
      <c r="Z32" s="139" t="s">
        <v>402</v>
      </c>
      <c r="AA32" s="136"/>
      <c r="AB32" s="139" t="s">
        <v>404</v>
      </c>
      <c r="AC32" s="139" t="s">
        <v>428</v>
      </c>
      <c r="AD32" s="136"/>
      <c r="AE32" s="142" t="s">
        <v>519</v>
      </c>
      <c r="AF32" s="142" t="s">
        <v>519</v>
      </c>
      <c r="AG32" s="142"/>
      <c r="AH32" s="139" t="s">
        <v>398</v>
      </c>
      <c r="AI32" s="139" t="s">
        <v>398</v>
      </c>
      <c r="AJ32" s="139" t="s">
        <v>398</v>
      </c>
      <c r="AK32" s="139" t="s">
        <v>398</v>
      </c>
      <c r="AL32" s="137"/>
      <c r="AM32" s="137"/>
      <c r="AN32" s="137"/>
      <c r="AO32" s="138"/>
      <c r="AP32" s="138"/>
      <c r="AQ32" s="89"/>
    </row>
    <row r="33" spans="1:43" ht="13.15" customHeight="1" x14ac:dyDescent="0.2">
      <c r="A33" s="19" t="s">
        <v>256</v>
      </c>
      <c r="B33" s="60"/>
      <c r="C33" s="24">
        <v>100</v>
      </c>
      <c r="D33" s="24">
        <v>350</v>
      </c>
      <c r="E33" s="583" t="s">
        <v>528</v>
      </c>
      <c r="F33" s="549"/>
      <c r="G33" s="549"/>
      <c r="H33" s="549"/>
      <c r="I33" s="549"/>
      <c r="J33" s="550"/>
      <c r="K33" s="584" t="s">
        <v>351</v>
      </c>
      <c r="L33" s="549"/>
      <c r="M33" s="549"/>
      <c r="N33" s="550"/>
      <c r="O33" s="98" t="s">
        <v>236</v>
      </c>
      <c r="P33" s="98" t="s">
        <v>328</v>
      </c>
      <c r="Q33" s="585" t="s">
        <v>332</v>
      </c>
      <c r="R33" s="615"/>
      <c r="S33" s="853"/>
      <c r="U33" s="89"/>
      <c r="V33" s="824"/>
      <c r="W33" s="1">
        <v>350</v>
      </c>
      <c r="X33" s="139" t="s">
        <v>401</v>
      </c>
      <c r="Y33" s="139"/>
      <c r="Z33" s="139" t="s">
        <v>402</v>
      </c>
      <c r="AA33" s="136"/>
      <c r="AB33" s="139" t="s">
        <v>404</v>
      </c>
      <c r="AC33" s="139" t="s">
        <v>428</v>
      </c>
      <c r="AD33" s="136"/>
      <c r="AE33" s="142" t="s">
        <v>521</v>
      </c>
      <c r="AF33" s="142" t="s">
        <v>521</v>
      </c>
      <c r="AG33" s="142"/>
      <c r="AH33" s="139" t="s">
        <v>398</v>
      </c>
      <c r="AI33" s="139" t="s">
        <v>398</v>
      </c>
      <c r="AJ33" s="139" t="s">
        <v>398</v>
      </c>
      <c r="AK33" s="139" t="s">
        <v>398</v>
      </c>
      <c r="AL33" s="139" t="s">
        <v>398</v>
      </c>
      <c r="AM33" s="137"/>
      <c r="AN33" s="137"/>
      <c r="AO33" s="138"/>
      <c r="AP33" s="138"/>
      <c r="AQ33" s="89"/>
    </row>
    <row r="34" spans="1:43" ht="13.15" customHeight="1" x14ac:dyDescent="0.2">
      <c r="A34" s="19"/>
      <c r="B34" s="60"/>
      <c r="C34" s="24">
        <v>400</v>
      </c>
      <c r="D34" s="24">
        <v>400</v>
      </c>
      <c r="E34" s="583" t="s">
        <v>526</v>
      </c>
      <c r="F34" s="549"/>
      <c r="G34" s="549"/>
      <c r="H34" s="549"/>
      <c r="I34" s="549"/>
      <c r="J34" s="550"/>
      <c r="K34" s="584" t="s">
        <v>351</v>
      </c>
      <c r="L34" s="549"/>
      <c r="M34" s="549"/>
      <c r="N34" s="550"/>
      <c r="O34" s="165" t="s">
        <v>236</v>
      </c>
      <c r="P34" s="98" t="s">
        <v>328</v>
      </c>
      <c r="Q34" s="585" t="s">
        <v>332</v>
      </c>
      <c r="R34" s="615"/>
      <c r="S34" s="853"/>
      <c r="U34" s="89"/>
      <c r="V34" s="824"/>
      <c r="W34" s="1">
        <v>400</v>
      </c>
      <c r="X34" s="139" t="s">
        <v>401</v>
      </c>
      <c r="Y34" s="139"/>
      <c r="Z34" s="139" t="s">
        <v>420</v>
      </c>
      <c r="AA34" s="139"/>
      <c r="AB34" s="139" t="s">
        <v>463</v>
      </c>
      <c r="AC34" s="139" t="s">
        <v>419</v>
      </c>
      <c r="AD34" s="139"/>
      <c r="AE34" s="142" t="s">
        <v>523</v>
      </c>
      <c r="AF34" s="142" t="s">
        <v>523</v>
      </c>
      <c r="AG34" s="142"/>
      <c r="AH34" s="139" t="s">
        <v>398</v>
      </c>
      <c r="AI34" s="139" t="s">
        <v>398</v>
      </c>
      <c r="AJ34" s="139" t="s">
        <v>398</v>
      </c>
      <c r="AK34" s="139" t="s">
        <v>398</v>
      </c>
      <c r="AL34" s="139" t="s">
        <v>398</v>
      </c>
      <c r="AM34" s="139" t="s">
        <v>398</v>
      </c>
      <c r="AN34" s="137"/>
      <c r="AO34" s="138"/>
      <c r="AP34" s="138"/>
      <c r="AQ34" s="89"/>
    </row>
    <row r="35" spans="1:43" ht="13.15" customHeight="1" x14ac:dyDescent="0.2">
      <c r="A35" s="19"/>
      <c r="B35" s="60"/>
      <c r="C35" s="24"/>
      <c r="D35" s="24"/>
      <c r="E35" s="583" t="s">
        <v>530</v>
      </c>
      <c r="F35" s="549"/>
      <c r="G35" s="549"/>
      <c r="H35" s="549"/>
      <c r="I35" s="549"/>
      <c r="J35" s="550"/>
      <c r="K35" s="584">
        <v>1.5415000000000001</v>
      </c>
      <c r="L35" s="549"/>
      <c r="M35" s="549"/>
      <c r="N35" s="550"/>
      <c r="O35" s="165" t="s">
        <v>236</v>
      </c>
      <c r="P35" s="98" t="s">
        <v>257</v>
      </c>
      <c r="Q35" s="585" t="s">
        <v>721</v>
      </c>
      <c r="R35" s="615"/>
      <c r="S35" s="853"/>
      <c r="U35" s="89"/>
      <c r="V35" s="824"/>
      <c r="W35" s="1">
        <v>450</v>
      </c>
      <c r="X35" s="139"/>
      <c r="Y35" s="139"/>
      <c r="Z35" s="139"/>
      <c r="AA35" s="136"/>
      <c r="AB35" s="136"/>
      <c r="AC35" s="136"/>
      <c r="AD35" s="136"/>
      <c r="AE35" s="136"/>
      <c r="AF35" s="141"/>
      <c r="AG35" s="141"/>
      <c r="AH35" s="265"/>
      <c r="AI35" s="139"/>
      <c r="AJ35" s="139"/>
      <c r="AK35" s="139"/>
      <c r="AL35" s="139"/>
      <c r="AM35" s="139"/>
      <c r="AN35" s="139"/>
      <c r="AO35" s="138"/>
      <c r="AP35" s="138"/>
      <c r="AQ35" s="89"/>
    </row>
    <row r="36" spans="1:43" ht="13.15" customHeight="1" x14ac:dyDescent="0.2">
      <c r="A36" s="19"/>
      <c r="B36" s="60"/>
      <c r="C36" s="24"/>
      <c r="D36" s="24"/>
      <c r="E36" s="583" t="s">
        <v>327</v>
      </c>
      <c r="F36" s="549"/>
      <c r="G36" s="549"/>
      <c r="H36" s="549"/>
      <c r="I36" s="549"/>
      <c r="J36" s="550"/>
      <c r="K36" s="584" t="s">
        <v>330</v>
      </c>
      <c r="L36" s="549"/>
      <c r="M36" s="549"/>
      <c r="N36" s="550"/>
      <c r="O36" s="98" t="s">
        <v>236</v>
      </c>
      <c r="P36" s="98" t="s">
        <v>257</v>
      </c>
      <c r="Q36" s="585" t="s">
        <v>329</v>
      </c>
      <c r="R36" s="615"/>
      <c r="S36" s="853"/>
      <c r="U36" s="89"/>
      <c r="V36" s="658"/>
      <c r="W36" s="1">
        <v>500</v>
      </c>
      <c r="X36" s="139"/>
      <c r="Y36" s="139"/>
      <c r="Z36" s="139"/>
      <c r="AA36" s="136"/>
      <c r="AB36" s="136"/>
      <c r="AC36" s="136"/>
      <c r="AD36" s="136"/>
      <c r="AE36" s="136"/>
      <c r="AF36" s="141"/>
      <c r="AG36" s="141"/>
      <c r="AH36" s="265"/>
      <c r="AI36" s="265"/>
      <c r="AJ36" s="139"/>
      <c r="AK36" s="139"/>
      <c r="AL36" s="142"/>
      <c r="AM36" s="139"/>
      <c r="AN36" s="139"/>
      <c r="AO36" s="139"/>
      <c r="AP36" s="138"/>
      <c r="AQ36" s="89"/>
    </row>
    <row r="37" spans="1:43" ht="13.15" customHeight="1" x14ac:dyDescent="0.2">
      <c r="A37" s="19" t="s">
        <v>258</v>
      </c>
      <c r="B37" s="60"/>
      <c r="C37" s="24">
        <v>15</v>
      </c>
      <c r="D37" s="24">
        <v>40</v>
      </c>
      <c r="E37" s="583" t="s">
        <v>271</v>
      </c>
      <c r="F37" s="549"/>
      <c r="G37" s="549"/>
      <c r="H37" s="549"/>
      <c r="I37" s="549"/>
      <c r="J37" s="550"/>
      <c r="K37" s="584" t="s">
        <v>677</v>
      </c>
      <c r="L37" s="549"/>
      <c r="M37" s="549"/>
      <c r="N37" s="550"/>
      <c r="O37" s="98" t="s">
        <v>236</v>
      </c>
      <c r="P37" s="98" t="s">
        <v>246</v>
      </c>
      <c r="Q37" s="585" t="s">
        <v>307</v>
      </c>
      <c r="R37" s="615"/>
      <c r="S37" s="853"/>
      <c r="U37" s="89"/>
      <c r="V37" s="658"/>
      <c r="W37" s="1">
        <v>600</v>
      </c>
      <c r="X37" s="139"/>
      <c r="Y37" s="139"/>
      <c r="Z37" s="139"/>
      <c r="AA37" s="136"/>
      <c r="AB37" s="136"/>
      <c r="AC37" s="136"/>
      <c r="AD37" s="136"/>
      <c r="AE37" s="136"/>
      <c r="AF37" s="139"/>
      <c r="AG37" s="139"/>
      <c r="AH37" s="142"/>
      <c r="AI37" s="142"/>
      <c r="AJ37" s="139"/>
      <c r="AK37" s="139"/>
      <c r="AL37" s="142"/>
      <c r="AM37" s="139"/>
      <c r="AN37" s="142"/>
      <c r="AO37" s="139"/>
      <c r="AP37" s="139"/>
      <c r="AQ37" s="89"/>
    </row>
    <row r="38" spans="1:43" ht="13.15" customHeight="1" x14ac:dyDescent="0.2">
      <c r="A38" s="19"/>
      <c r="B38" s="60"/>
      <c r="C38" s="24">
        <v>50</v>
      </c>
      <c r="D38" s="27">
        <v>400</v>
      </c>
      <c r="E38" s="713" t="s">
        <v>378</v>
      </c>
      <c r="F38" s="714"/>
      <c r="G38" s="714"/>
      <c r="H38" s="714"/>
      <c r="I38" s="714"/>
      <c r="J38" s="715"/>
      <c r="K38" s="720" t="s">
        <v>351</v>
      </c>
      <c r="L38" s="714"/>
      <c r="M38" s="714"/>
      <c r="N38" s="715"/>
      <c r="O38" s="98" t="s">
        <v>236</v>
      </c>
      <c r="P38" s="98" t="s">
        <v>328</v>
      </c>
      <c r="Q38" s="718" t="s">
        <v>332</v>
      </c>
      <c r="R38" s="807"/>
      <c r="S38" s="863"/>
      <c r="T38" s="95"/>
      <c r="U38" s="96"/>
      <c r="V38" s="21"/>
      <c r="W38"/>
      <c r="X38">
        <v>15</v>
      </c>
      <c r="Y38" s="228" t="s">
        <v>642</v>
      </c>
      <c r="Z38">
        <v>25</v>
      </c>
      <c r="AA38" s="484" t="s">
        <v>643</v>
      </c>
      <c r="AB38">
        <v>40</v>
      </c>
      <c r="AC38">
        <v>50</v>
      </c>
      <c r="AD38" s="228" t="s">
        <v>295</v>
      </c>
      <c r="AE38">
        <v>80</v>
      </c>
      <c r="AF38">
        <v>100</v>
      </c>
      <c r="AG38" s="228" t="s">
        <v>296</v>
      </c>
      <c r="AH38">
        <v>150</v>
      </c>
      <c r="AI38">
        <v>200</v>
      </c>
      <c r="AJ38">
        <v>250</v>
      </c>
      <c r="AK38">
        <v>300</v>
      </c>
      <c r="AL38">
        <v>350</v>
      </c>
      <c r="AM38" s="2">
        <v>400</v>
      </c>
      <c r="AN38" s="2">
        <v>450</v>
      </c>
      <c r="AO38" s="2">
        <v>500</v>
      </c>
      <c r="AP38" s="2">
        <v>600</v>
      </c>
      <c r="AQ38" s="89"/>
    </row>
    <row r="39" spans="1:43" ht="13.15" customHeight="1" x14ac:dyDescent="0.2">
      <c r="A39" s="26" t="s">
        <v>216</v>
      </c>
      <c r="B39" s="454"/>
      <c r="C39" s="29">
        <v>25</v>
      </c>
      <c r="D39" s="25">
        <v>400</v>
      </c>
      <c r="E39" s="561" t="s">
        <v>384</v>
      </c>
      <c r="F39" s="562"/>
      <c r="G39" s="562"/>
      <c r="H39" s="562"/>
      <c r="I39" s="562"/>
      <c r="J39" s="563"/>
      <c r="K39" s="564" t="s">
        <v>677</v>
      </c>
      <c r="L39" s="562"/>
      <c r="M39" s="562"/>
      <c r="N39" s="563"/>
      <c r="O39" s="97" t="s">
        <v>236</v>
      </c>
      <c r="P39" s="97" t="s">
        <v>246</v>
      </c>
      <c r="Q39" s="565" t="s">
        <v>307</v>
      </c>
      <c r="R39" s="566"/>
      <c r="S39" s="827" t="s">
        <v>357</v>
      </c>
      <c r="T39" s="828"/>
      <c r="U39" s="829"/>
      <c r="V39" s="21"/>
      <c r="X39" s="659" t="s">
        <v>275</v>
      </c>
      <c r="Y39" s="660"/>
      <c r="Z39" s="660"/>
      <c r="AA39" s="660"/>
      <c r="AB39" s="660"/>
      <c r="AC39" s="660"/>
      <c r="AD39" s="660"/>
      <c r="AE39" s="660"/>
      <c r="AF39" s="660"/>
      <c r="AG39" s="660"/>
      <c r="AH39" s="660"/>
      <c r="AI39" s="660"/>
      <c r="AJ39" s="660"/>
      <c r="AK39" s="660"/>
      <c r="AL39" s="660"/>
      <c r="AM39" s="660"/>
      <c r="AN39" s="660"/>
      <c r="AO39" s="660"/>
      <c r="AP39" s="660"/>
      <c r="AQ39" s="89"/>
    </row>
    <row r="40" spans="1:43" ht="13.15" customHeight="1" x14ac:dyDescent="0.2">
      <c r="A40" s="19"/>
      <c r="B40" s="60"/>
      <c r="C40" s="24"/>
      <c r="D40" s="23"/>
      <c r="E40" s="155"/>
      <c r="F40" s="160"/>
      <c r="G40" s="160"/>
      <c r="H40" s="160"/>
      <c r="I40" s="160"/>
      <c r="J40" s="181"/>
      <c r="K40" s="182"/>
      <c r="L40" s="160"/>
      <c r="M40" s="160"/>
      <c r="N40" s="181"/>
      <c r="O40" s="98"/>
      <c r="P40" s="98"/>
      <c r="Q40" s="347"/>
      <c r="R40" s="348"/>
      <c r="S40" s="830"/>
      <c r="T40" s="831"/>
      <c r="U40" s="832"/>
      <c r="V40" s="21"/>
      <c r="Y40" s="117"/>
      <c r="Z40"/>
      <c r="AA40"/>
      <c r="AB40"/>
      <c r="AC40"/>
      <c r="AD40"/>
      <c r="AE40"/>
      <c r="AF40"/>
      <c r="AG40"/>
      <c r="AH40"/>
      <c r="AI40"/>
      <c r="AJ40"/>
      <c r="AK40"/>
      <c r="AL40"/>
      <c r="AQ40" s="89"/>
    </row>
    <row r="41" spans="1:43" ht="13.15" customHeight="1" x14ac:dyDescent="0.2">
      <c r="A41" s="20"/>
      <c r="B41" s="424"/>
      <c r="C41" s="28"/>
      <c r="D41" s="27"/>
      <c r="E41" s="320"/>
      <c r="F41" s="124"/>
      <c r="G41" s="124"/>
      <c r="H41" s="124"/>
      <c r="I41" s="124"/>
      <c r="J41" s="354"/>
      <c r="K41" s="321"/>
      <c r="L41" s="124"/>
      <c r="M41" s="124"/>
      <c r="N41" s="354"/>
      <c r="O41" s="110"/>
      <c r="P41" s="99"/>
      <c r="Q41" s="80"/>
      <c r="R41" s="80"/>
      <c r="S41" s="94"/>
      <c r="T41" s="95"/>
      <c r="U41" s="96"/>
      <c r="V41" s="21"/>
      <c r="X41" s="61" t="s">
        <v>713</v>
      </c>
      <c r="AQ41" s="89"/>
    </row>
    <row r="42" spans="1:43" ht="13.15" customHeight="1" x14ac:dyDescent="0.2">
      <c r="A42" s="19" t="s">
        <v>215</v>
      </c>
      <c r="B42" s="60"/>
      <c r="C42" s="24">
        <v>15</v>
      </c>
      <c r="D42" s="25">
        <v>400</v>
      </c>
      <c r="E42" s="561" t="s">
        <v>247</v>
      </c>
      <c r="F42" s="562"/>
      <c r="G42" s="562"/>
      <c r="H42" s="562"/>
      <c r="I42" s="562"/>
      <c r="J42" s="563"/>
      <c r="K42" s="564" t="s">
        <v>678</v>
      </c>
      <c r="L42" s="562"/>
      <c r="M42" s="562"/>
      <c r="N42" s="563"/>
      <c r="O42" s="97" t="s">
        <v>236</v>
      </c>
      <c r="P42" s="97" t="s">
        <v>246</v>
      </c>
      <c r="Q42" s="565" t="s">
        <v>307</v>
      </c>
      <c r="R42" s="566"/>
      <c r="S42" s="109"/>
      <c r="T42" s="91"/>
      <c r="U42" s="92"/>
      <c r="V42" s="21"/>
      <c r="X42" s="61" t="s">
        <v>681</v>
      </c>
      <c r="AQ42" s="89"/>
    </row>
    <row r="43" spans="1:43" ht="13.15" customHeight="1" x14ac:dyDescent="0.2">
      <c r="A43" s="19"/>
      <c r="B43" s="60"/>
      <c r="C43" s="24"/>
      <c r="D43" s="24"/>
      <c r="E43" s="155"/>
      <c r="F43" s="160"/>
      <c r="G43" s="160"/>
      <c r="H43" s="160"/>
      <c r="I43" s="160"/>
      <c r="J43" s="181"/>
      <c r="K43" s="182"/>
      <c r="L43" s="160"/>
      <c r="M43" s="160"/>
      <c r="N43" s="181"/>
      <c r="O43" s="98"/>
      <c r="P43" s="98"/>
      <c r="Q43" s="347"/>
      <c r="R43" s="161"/>
      <c r="S43" s="88"/>
      <c r="U43" s="89"/>
      <c r="V43" s="21"/>
      <c r="X43" s="61" t="s">
        <v>707</v>
      </c>
      <c r="AQ43" s="89"/>
    </row>
    <row r="44" spans="1:43" ht="13.15" customHeight="1" x14ac:dyDescent="0.2">
      <c r="A44" s="20"/>
      <c r="B44" s="424"/>
      <c r="C44" s="28"/>
      <c r="D44" s="28"/>
      <c r="E44" s="320"/>
      <c r="F44" s="124"/>
      <c r="G44" s="124"/>
      <c r="H44" s="124"/>
      <c r="I44" s="124"/>
      <c r="J44" s="354"/>
      <c r="K44" s="321"/>
      <c r="L44" s="124"/>
      <c r="M44" s="124"/>
      <c r="N44" s="354"/>
      <c r="O44" s="110"/>
      <c r="P44" s="110"/>
      <c r="Q44" s="80"/>
      <c r="R44" s="80"/>
      <c r="S44" s="94"/>
      <c r="T44" s="95"/>
      <c r="U44" s="96"/>
      <c r="V44" s="21"/>
      <c r="X44" s="61" t="s">
        <v>708</v>
      </c>
      <c r="AQ44" s="89"/>
    </row>
    <row r="45" spans="1:43" ht="13.15" customHeight="1" x14ac:dyDescent="0.2">
      <c r="A45" s="19" t="s">
        <v>214</v>
      </c>
      <c r="B45" s="60"/>
      <c r="C45" s="24">
        <v>15</v>
      </c>
      <c r="D45" s="24">
        <v>80</v>
      </c>
      <c r="E45" s="561" t="s">
        <v>483</v>
      </c>
      <c r="F45" s="562"/>
      <c r="G45" s="562"/>
      <c r="H45" s="562"/>
      <c r="I45" s="562"/>
      <c r="J45" s="563"/>
      <c r="K45" s="564" t="s">
        <v>365</v>
      </c>
      <c r="L45" s="562"/>
      <c r="M45" s="562"/>
      <c r="N45" s="563"/>
      <c r="O45" s="97" t="s">
        <v>422</v>
      </c>
      <c r="P45" s="97" t="s">
        <v>363</v>
      </c>
      <c r="Q45" s="565" t="s">
        <v>309</v>
      </c>
      <c r="R45" s="566"/>
      <c r="S45" s="109"/>
      <c r="T45" s="91"/>
      <c r="U45" s="92"/>
      <c r="V45" s="21"/>
      <c r="AQ45" s="89"/>
    </row>
    <row r="46" spans="1:43" ht="13.15" customHeight="1" x14ac:dyDescent="0.2">
      <c r="A46" s="19"/>
      <c r="B46" s="60"/>
      <c r="C46" s="24">
        <v>100</v>
      </c>
      <c r="D46" s="24">
        <v>350</v>
      </c>
      <c r="E46" s="583" t="s">
        <v>483</v>
      </c>
      <c r="F46" s="549"/>
      <c r="G46" s="549"/>
      <c r="H46" s="549"/>
      <c r="I46" s="549"/>
      <c r="J46" s="550"/>
      <c r="K46" s="584" t="s">
        <v>365</v>
      </c>
      <c r="L46" s="549"/>
      <c r="M46" s="549"/>
      <c r="N46" s="550"/>
      <c r="O46" s="98" t="s">
        <v>422</v>
      </c>
      <c r="P46" s="98" t="s">
        <v>363</v>
      </c>
      <c r="Q46" s="585" t="s">
        <v>309</v>
      </c>
      <c r="R46" s="615"/>
      <c r="S46" s="93" t="s">
        <v>292</v>
      </c>
      <c r="U46" s="89"/>
      <c r="V46" s="21"/>
      <c r="AQ46" s="89"/>
    </row>
    <row r="47" spans="1:43" ht="13.15" customHeight="1" x14ac:dyDescent="0.2">
      <c r="A47" s="19"/>
      <c r="B47" s="60"/>
      <c r="C47" s="28"/>
      <c r="D47" s="27"/>
      <c r="E47" s="320"/>
      <c r="F47" s="349"/>
      <c r="G47" s="349"/>
      <c r="H47" s="349"/>
      <c r="I47" s="349"/>
      <c r="J47" s="350"/>
      <c r="K47" s="321"/>
      <c r="L47" s="349"/>
      <c r="M47" s="349"/>
      <c r="N47" s="350"/>
      <c r="O47" s="110"/>
      <c r="P47" s="110"/>
      <c r="Q47" s="321"/>
      <c r="R47" s="367"/>
      <c r="S47" s="369" t="s">
        <v>532</v>
      </c>
      <c r="T47" s="365"/>
      <c r="U47" s="370"/>
      <c r="V47" s="21"/>
      <c r="AQ47" s="89"/>
    </row>
    <row r="48" spans="1:43" ht="13.15" customHeight="1" x14ac:dyDescent="0.2">
      <c r="A48" s="26" t="s">
        <v>213</v>
      </c>
      <c r="B48" s="435"/>
      <c r="C48" s="24">
        <v>15</v>
      </c>
      <c r="D48" s="24">
        <v>80</v>
      </c>
      <c r="E48" s="561" t="s">
        <v>514</v>
      </c>
      <c r="F48" s="562"/>
      <c r="G48" s="562"/>
      <c r="H48" s="562"/>
      <c r="I48" s="562"/>
      <c r="J48" s="563"/>
      <c r="K48" s="564" t="s">
        <v>365</v>
      </c>
      <c r="L48" s="562"/>
      <c r="M48" s="562"/>
      <c r="N48" s="563"/>
      <c r="O48" s="97" t="s">
        <v>422</v>
      </c>
      <c r="P48" s="97" t="s">
        <v>248</v>
      </c>
      <c r="Q48" s="565" t="s">
        <v>309</v>
      </c>
      <c r="R48" s="566"/>
      <c r="S48" s="109"/>
      <c r="T48" s="91"/>
      <c r="U48" s="92"/>
      <c r="V48" s="21"/>
      <c r="AQ48" s="89"/>
    </row>
    <row r="49" spans="1:43" ht="13.15" customHeight="1" x14ac:dyDescent="0.2">
      <c r="A49" s="19"/>
      <c r="B49" s="60"/>
      <c r="C49" s="24">
        <v>100</v>
      </c>
      <c r="D49" s="24">
        <v>350</v>
      </c>
      <c r="E49" s="583" t="s">
        <v>514</v>
      </c>
      <c r="F49" s="549"/>
      <c r="G49" s="549"/>
      <c r="H49" s="549"/>
      <c r="I49" s="549"/>
      <c r="J49" s="550"/>
      <c r="K49" s="584" t="s">
        <v>365</v>
      </c>
      <c r="L49" s="549"/>
      <c r="M49" s="549"/>
      <c r="N49" s="550"/>
      <c r="O49" s="98" t="s">
        <v>422</v>
      </c>
      <c r="P49" s="98" t="s">
        <v>248</v>
      </c>
      <c r="Q49" s="585" t="s">
        <v>309</v>
      </c>
      <c r="R49" s="615"/>
      <c r="S49" s="93" t="s">
        <v>292</v>
      </c>
      <c r="U49" s="89"/>
      <c r="V49" s="21"/>
      <c r="AQ49" s="89"/>
    </row>
    <row r="50" spans="1:43" ht="13.15" customHeight="1" x14ac:dyDescent="0.2">
      <c r="A50" s="20"/>
      <c r="B50" s="424"/>
      <c r="C50" s="28"/>
      <c r="D50" s="28"/>
      <c r="E50" s="320"/>
      <c r="F50" s="124"/>
      <c r="G50" s="124"/>
      <c r="H50" s="124"/>
      <c r="I50" s="124"/>
      <c r="J50" s="354"/>
      <c r="K50" s="321"/>
      <c r="L50" s="124"/>
      <c r="M50" s="124"/>
      <c r="N50" s="124"/>
      <c r="O50" s="110"/>
      <c r="P50" s="110"/>
      <c r="Q50" s="80"/>
      <c r="R50" s="80"/>
      <c r="S50" s="369" t="s">
        <v>532</v>
      </c>
      <c r="T50" s="365"/>
      <c r="U50" s="370"/>
      <c r="V50" s="21"/>
      <c r="AQ50" s="89"/>
    </row>
    <row r="51" spans="1:43" ht="13.15" customHeight="1" x14ac:dyDescent="0.2">
      <c r="A51" s="19" t="s">
        <v>264</v>
      </c>
      <c r="B51" s="60"/>
      <c r="C51" s="24" t="s">
        <v>313</v>
      </c>
      <c r="D51" s="24" t="s">
        <v>364</v>
      </c>
      <c r="E51" s="561" t="s">
        <v>367</v>
      </c>
      <c r="F51" s="562"/>
      <c r="G51" s="562"/>
      <c r="H51" s="562"/>
      <c r="I51" s="562"/>
      <c r="J51" s="563"/>
      <c r="K51" s="564" t="s">
        <v>655</v>
      </c>
      <c r="L51" s="562"/>
      <c r="M51" s="562"/>
      <c r="N51" s="563"/>
      <c r="O51" s="98" t="s">
        <v>422</v>
      </c>
      <c r="P51" s="97" t="s">
        <v>257</v>
      </c>
      <c r="Q51" s="565" t="s">
        <v>369</v>
      </c>
      <c r="R51" s="566"/>
      <c r="S51" s="109" t="s">
        <v>424</v>
      </c>
      <c r="T51" s="91"/>
      <c r="U51" s="92"/>
      <c r="V51" s="21"/>
      <c r="AQ51" s="89"/>
    </row>
    <row r="52" spans="1:43" ht="13.15" customHeight="1" x14ac:dyDescent="0.2">
      <c r="A52" s="20"/>
      <c r="B52" s="424"/>
      <c r="C52" s="28" t="s">
        <v>338</v>
      </c>
      <c r="D52" s="27" t="s">
        <v>518</v>
      </c>
      <c r="E52" s="713" t="s">
        <v>368</v>
      </c>
      <c r="F52" s="714"/>
      <c r="G52" s="714"/>
      <c r="H52" s="714"/>
      <c r="I52" s="714"/>
      <c r="J52" s="715"/>
      <c r="K52" s="720" t="s">
        <v>655</v>
      </c>
      <c r="L52" s="714"/>
      <c r="M52" s="714"/>
      <c r="N52" s="715"/>
      <c r="O52" s="98" t="s">
        <v>422</v>
      </c>
      <c r="P52" s="146" t="s">
        <v>257</v>
      </c>
      <c r="Q52" s="746" t="s">
        <v>370</v>
      </c>
      <c r="R52" s="864"/>
      <c r="S52" s="93" t="s">
        <v>534</v>
      </c>
      <c r="T52" s="266"/>
      <c r="U52" s="267"/>
      <c r="V52" s="21"/>
      <c r="AQ52" s="89"/>
    </row>
    <row r="53" spans="1:43" ht="13.15" customHeight="1" x14ac:dyDescent="0.2">
      <c r="A53" s="19" t="s">
        <v>212</v>
      </c>
      <c r="B53" s="60"/>
      <c r="C53" s="24" t="s">
        <v>313</v>
      </c>
      <c r="D53" s="24" t="s">
        <v>364</v>
      </c>
      <c r="E53" s="561" t="s">
        <v>383</v>
      </c>
      <c r="F53" s="562"/>
      <c r="G53" s="562"/>
      <c r="H53" s="562"/>
      <c r="I53" s="562"/>
      <c r="J53" s="563"/>
      <c r="K53" s="564" t="s">
        <v>655</v>
      </c>
      <c r="L53" s="562"/>
      <c r="M53" s="562"/>
      <c r="N53" s="563"/>
      <c r="O53" s="97" t="s">
        <v>422</v>
      </c>
      <c r="P53" s="97" t="s">
        <v>257</v>
      </c>
      <c r="Q53" s="565" t="s">
        <v>316</v>
      </c>
      <c r="R53" s="566"/>
      <c r="S53" s="109" t="s">
        <v>424</v>
      </c>
      <c r="T53" s="91"/>
      <c r="U53" s="92"/>
      <c r="V53" s="21"/>
      <c r="AQ53" s="89"/>
    </row>
    <row r="54" spans="1:43" ht="13.15" customHeight="1" x14ac:dyDescent="0.2">
      <c r="A54" s="20"/>
      <c r="B54" s="424"/>
      <c r="C54" s="28" t="s">
        <v>338</v>
      </c>
      <c r="D54" s="27" t="s">
        <v>518</v>
      </c>
      <c r="E54" s="713" t="s">
        <v>371</v>
      </c>
      <c r="F54" s="714"/>
      <c r="G54" s="714"/>
      <c r="H54" s="714"/>
      <c r="I54" s="714"/>
      <c r="J54" s="715"/>
      <c r="K54" s="720" t="s">
        <v>655</v>
      </c>
      <c r="L54" s="714"/>
      <c r="M54" s="714"/>
      <c r="N54" s="715"/>
      <c r="O54" s="98" t="s">
        <v>422</v>
      </c>
      <c r="P54" s="146" t="s">
        <v>257</v>
      </c>
      <c r="Q54" s="746" t="s">
        <v>654</v>
      </c>
      <c r="R54" s="864"/>
      <c r="S54" s="93" t="s">
        <v>534</v>
      </c>
      <c r="T54" s="266"/>
      <c r="U54" s="267"/>
      <c r="V54" s="21"/>
      <c r="W54" s="310"/>
      <c r="X54" s="310"/>
      <c r="Y54" s="311"/>
      <c r="Z54" s="311"/>
      <c r="AA54" s="311"/>
      <c r="AB54" s="311"/>
      <c r="AC54" s="311"/>
      <c r="AD54" s="311"/>
      <c r="AE54" s="310"/>
      <c r="AF54" s="311"/>
      <c r="AG54" s="311"/>
      <c r="AH54" s="311"/>
      <c r="AI54" s="310"/>
      <c r="AJ54" s="310"/>
      <c r="AK54" s="310"/>
      <c r="AL54" s="311"/>
      <c r="AM54" s="310"/>
      <c r="AN54" s="161"/>
      <c r="AO54" s="161"/>
      <c r="AP54" s="311"/>
      <c r="AQ54" s="89"/>
    </row>
    <row r="55" spans="1:43" ht="13.15" customHeight="1" x14ac:dyDescent="0.2">
      <c r="A55" s="19" t="s">
        <v>211</v>
      </c>
      <c r="B55" s="60"/>
      <c r="C55" s="29">
        <v>15</v>
      </c>
      <c r="D55" s="25">
        <v>350</v>
      </c>
      <c r="E55" s="561" t="s">
        <v>263</v>
      </c>
      <c r="F55" s="562"/>
      <c r="G55" s="562"/>
      <c r="H55" s="562"/>
      <c r="I55" s="562"/>
      <c r="J55" s="563"/>
      <c r="K55" s="564" t="s">
        <v>724</v>
      </c>
      <c r="L55" s="562"/>
      <c r="M55" s="562"/>
      <c r="N55" s="563"/>
      <c r="O55" s="97" t="s">
        <v>422</v>
      </c>
      <c r="P55" s="97"/>
      <c r="Q55" s="565" t="s">
        <v>339</v>
      </c>
      <c r="R55" s="566"/>
      <c r="S55" s="825" t="s">
        <v>669</v>
      </c>
      <c r="T55" s="552"/>
      <c r="U55" s="826"/>
      <c r="V55" s="21"/>
      <c r="W55" s="624" t="s">
        <v>259</v>
      </c>
      <c r="X55" s="551" t="s">
        <v>197</v>
      </c>
      <c r="Y55" s="552"/>
      <c r="Z55" s="552"/>
      <c r="AA55" s="552"/>
      <c r="AB55" s="552"/>
      <c r="AC55" s="552"/>
      <c r="AD55" s="553"/>
      <c r="AE55" s="557" t="s">
        <v>241</v>
      </c>
      <c r="AF55" s="552"/>
      <c r="AG55" s="552"/>
      <c r="AH55" s="553"/>
      <c r="AI55" s="559" t="s">
        <v>243</v>
      </c>
      <c r="AJ55" s="559" t="s">
        <v>242</v>
      </c>
      <c r="AK55" s="557" t="s">
        <v>244</v>
      </c>
      <c r="AL55" s="553"/>
      <c r="AM55" s="557" t="s">
        <v>245</v>
      </c>
      <c r="AN55" s="626"/>
      <c r="AO55" s="626"/>
      <c r="AP55" s="627"/>
      <c r="AQ55" s="89"/>
    </row>
    <row r="56" spans="1:43" ht="13.15" customHeight="1" x14ac:dyDescent="0.2">
      <c r="A56" s="19"/>
      <c r="B56" s="60"/>
      <c r="C56" s="24"/>
      <c r="D56" s="23"/>
      <c r="E56" s="155"/>
      <c r="F56" s="160"/>
      <c r="G56" s="160"/>
      <c r="H56" s="160"/>
      <c r="I56" s="160"/>
      <c r="J56" s="181"/>
      <c r="K56" s="182"/>
      <c r="L56" s="160"/>
      <c r="M56" s="160"/>
      <c r="N56" s="181"/>
      <c r="O56" s="98"/>
      <c r="P56" s="98"/>
      <c r="Q56" s="183"/>
      <c r="R56" s="183"/>
      <c r="S56" s="93"/>
      <c r="T56" s="311"/>
      <c r="U56" s="371"/>
      <c r="V56" s="21"/>
      <c r="W56" s="625"/>
      <c r="X56" s="554"/>
      <c r="Y56" s="555"/>
      <c r="Z56" s="555"/>
      <c r="AA56" s="555"/>
      <c r="AB56" s="555"/>
      <c r="AC56" s="555"/>
      <c r="AD56" s="556"/>
      <c r="AE56" s="558"/>
      <c r="AF56" s="555"/>
      <c r="AG56" s="555"/>
      <c r="AH56" s="556"/>
      <c r="AI56" s="560"/>
      <c r="AJ56" s="560"/>
      <c r="AK56" s="558"/>
      <c r="AL56" s="556"/>
      <c r="AM56" s="628"/>
      <c r="AN56" s="586"/>
      <c r="AO56" s="586"/>
      <c r="AP56" s="629"/>
      <c r="AQ56" s="89"/>
    </row>
    <row r="57" spans="1:43" ht="13.15" customHeight="1" x14ac:dyDescent="0.2">
      <c r="A57" s="19"/>
      <c r="B57" s="60"/>
      <c r="C57" s="28"/>
      <c r="D57" s="27"/>
      <c r="E57" s="122"/>
      <c r="F57" s="123"/>
      <c r="G57" s="123"/>
      <c r="H57" s="123"/>
      <c r="I57" s="123"/>
      <c r="J57" s="112"/>
      <c r="K57" s="355"/>
      <c r="L57" s="123"/>
      <c r="M57" s="123"/>
      <c r="N57" s="112"/>
      <c r="O57" s="146"/>
      <c r="P57" s="146"/>
      <c r="Q57" s="123"/>
      <c r="R57" s="123"/>
      <c r="S57" s="88"/>
      <c r="U57" s="89"/>
      <c r="V57" s="21"/>
      <c r="W57" s="127" t="s">
        <v>390</v>
      </c>
      <c r="X57" s="630" t="s">
        <v>349</v>
      </c>
      <c r="Y57" s="552"/>
      <c r="Z57" s="552"/>
      <c r="AA57" s="552"/>
      <c r="AB57" s="552"/>
      <c r="AC57" s="552"/>
      <c r="AD57" s="553"/>
      <c r="AE57" s="572">
        <v>1.5415000000000001</v>
      </c>
      <c r="AF57" s="573"/>
      <c r="AG57" s="573"/>
      <c r="AH57" s="574"/>
      <c r="AI57" s="125" t="s">
        <v>236</v>
      </c>
      <c r="AJ57" s="125" t="s">
        <v>246</v>
      </c>
      <c r="AK57" s="575" t="s">
        <v>348</v>
      </c>
      <c r="AL57" s="576"/>
      <c r="AM57" s="90"/>
      <c r="AN57" s="91"/>
      <c r="AO57" s="91"/>
      <c r="AP57" s="129"/>
      <c r="AQ57" s="89"/>
    </row>
    <row r="58" spans="1:43" ht="13.15" customHeight="1" x14ac:dyDescent="0.2">
      <c r="A58" s="375" t="s">
        <v>547</v>
      </c>
      <c r="B58" s="462"/>
      <c r="C58" s="376"/>
      <c r="D58" s="376"/>
      <c r="E58" s="587"/>
      <c r="F58" s="588"/>
      <c r="G58" s="588"/>
      <c r="H58" s="588"/>
      <c r="I58" s="588"/>
      <c r="J58" s="589"/>
      <c r="K58" s="590"/>
      <c r="L58" s="588"/>
      <c r="M58" s="588"/>
      <c r="N58" s="589"/>
      <c r="O58" s="377" t="s">
        <v>422</v>
      </c>
      <c r="P58" s="377"/>
      <c r="Q58" s="591" t="s">
        <v>549</v>
      </c>
      <c r="R58" s="592"/>
      <c r="S58" s="378"/>
      <c r="T58" s="379"/>
      <c r="U58" s="380"/>
      <c r="V58" s="21"/>
      <c r="W58" s="128" t="s">
        <v>391</v>
      </c>
      <c r="X58" s="546" t="s">
        <v>350</v>
      </c>
      <c r="Y58" s="547"/>
      <c r="Z58" s="547"/>
      <c r="AA58" s="547"/>
      <c r="AB58" s="547"/>
      <c r="AC58" s="547"/>
      <c r="AD58" s="548"/>
      <c r="AE58" s="541">
        <v>1.5415000000000001</v>
      </c>
      <c r="AF58" s="542"/>
      <c r="AG58" s="542"/>
      <c r="AH58" s="543"/>
      <c r="AI58" s="126" t="s">
        <v>236</v>
      </c>
      <c r="AJ58" s="126" t="s">
        <v>246</v>
      </c>
      <c r="AK58" s="544" t="s">
        <v>348</v>
      </c>
      <c r="AL58" s="545"/>
      <c r="AM58" s="88"/>
      <c r="AP58" s="130"/>
      <c r="AQ58" s="89"/>
    </row>
    <row r="59" spans="1:43" ht="13.15" customHeight="1" x14ac:dyDescent="0.2">
      <c r="A59" s="26" t="s">
        <v>278</v>
      </c>
      <c r="B59" s="60"/>
      <c r="C59" s="24" t="s">
        <v>210</v>
      </c>
      <c r="D59" s="25">
        <v>50</v>
      </c>
      <c r="E59" s="561" t="s">
        <v>507</v>
      </c>
      <c r="F59" s="595"/>
      <c r="G59" s="595"/>
      <c r="H59" s="595"/>
      <c r="I59" s="595"/>
      <c r="J59" s="596"/>
      <c r="K59" s="597" t="s">
        <v>451</v>
      </c>
      <c r="L59" s="598"/>
      <c r="M59" s="598"/>
      <c r="N59" s="599"/>
      <c r="O59" s="97" t="s">
        <v>422</v>
      </c>
      <c r="P59" s="97" t="s">
        <v>283</v>
      </c>
      <c r="Q59" s="565" t="s">
        <v>266</v>
      </c>
      <c r="R59" s="566"/>
      <c r="S59" s="90"/>
      <c r="T59" s="91"/>
      <c r="U59" s="92"/>
      <c r="V59" s="21"/>
      <c r="W59" s="128" t="s">
        <v>345</v>
      </c>
      <c r="X59" s="546" t="s">
        <v>431</v>
      </c>
      <c r="Y59" s="547"/>
      <c r="Z59" s="547"/>
      <c r="AA59" s="547"/>
      <c r="AB59" s="547"/>
      <c r="AC59" s="547"/>
      <c r="AD59" s="548"/>
      <c r="AE59" s="541" t="s">
        <v>393</v>
      </c>
      <c r="AF59" s="542"/>
      <c r="AG59" s="542"/>
      <c r="AH59" s="543"/>
      <c r="AI59" s="126" t="s">
        <v>236</v>
      </c>
      <c r="AJ59" s="126" t="s">
        <v>328</v>
      </c>
      <c r="AK59" s="544" t="s">
        <v>347</v>
      </c>
      <c r="AL59" s="545"/>
      <c r="AM59" s="88"/>
      <c r="AP59" s="130"/>
      <c r="AQ59" s="89"/>
    </row>
    <row r="60" spans="1:43" ht="13.15" customHeight="1" x14ac:dyDescent="0.2">
      <c r="A60" s="178" t="s">
        <v>279</v>
      </c>
      <c r="B60" s="374"/>
      <c r="C60" s="24">
        <v>80</v>
      </c>
      <c r="D60" s="23" t="s">
        <v>277</v>
      </c>
      <c r="E60" s="619" t="s">
        <v>508</v>
      </c>
      <c r="F60" s="620"/>
      <c r="G60" s="620"/>
      <c r="H60" s="620"/>
      <c r="I60" s="620"/>
      <c r="J60" s="621"/>
      <c r="K60" s="567" t="s">
        <v>451</v>
      </c>
      <c r="L60" s="568"/>
      <c r="M60" s="568"/>
      <c r="N60" s="569"/>
      <c r="O60" s="98" t="s">
        <v>422</v>
      </c>
      <c r="P60" s="98" t="s">
        <v>283</v>
      </c>
      <c r="Q60" s="570" t="s">
        <v>266</v>
      </c>
      <c r="R60" s="571"/>
      <c r="S60" s="88"/>
      <c r="U60" s="89"/>
      <c r="V60" s="21"/>
      <c r="W60" s="128" t="s">
        <v>346</v>
      </c>
      <c r="X60" s="546" t="s">
        <v>432</v>
      </c>
      <c r="Y60" s="547"/>
      <c r="Z60" s="547"/>
      <c r="AA60" s="547"/>
      <c r="AB60" s="547"/>
      <c r="AC60" s="547"/>
      <c r="AD60" s="548"/>
      <c r="AE60" s="541" t="s">
        <v>393</v>
      </c>
      <c r="AF60" s="542"/>
      <c r="AG60" s="542"/>
      <c r="AH60" s="543"/>
      <c r="AI60" s="126" t="s">
        <v>236</v>
      </c>
      <c r="AJ60" s="126" t="s">
        <v>328</v>
      </c>
      <c r="AK60" s="544" t="s">
        <v>347</v>
      </c>
      <c r="AL60" s="545"/>
      <c r="AM60" s="329" t="s">
        <v>631</v>
      </c>
      <c r="AP60" s="130"/>
      <c r="AQ60" s="89"/>
    </row>
    <row r="61" spans="1:43" ht="13.15" customHeight="1" x14ac:dyDescent="0.2">
      <c r="A61" s="178" t="s">
        <v>280</v>
      </c>
      <c r="B61" s="374"/>
      <c r="C61" s="24"/>
      <c r="D61" s="23"/>
      <c r="E61" s="184"/>
      <c r="F61" s="179"/>
      <c r="G61" s="179"/>
      <c r="H61" s="179"/>
      <c r="I61" s="179"/>
      <c r="J61" s="179"/>
      <c r="K61" s="179"/>
      <c r="L61" s="179"/>
      <c r="M61" s="179"/>
      <c r="N61" s="179"/>
      <c r="O61" s="179"/>
      <c r="P61" s="179"/>
      <c r="Q61" s="179"/>
      <c r="R61" s="180"/>
      <c r="S61" s="88"/>
      <c r="U61" s="89"/>
      <c r="V61" s="21"/>
      <c r="W61" s="128" t="s">
        <v>328</v>
      </c>
      <c r="X61" s="546" t="s">
        <v>395</v>
      </c>
      <c r="Y61" s="547"/>
      <c r="Z61" s="547"/>
      <c r="AA61" s="547"/>
      <c r="AB61" s="547"/>
      <c r="AC61" s="547"/>
      <c r="AD61" s="548"/>
      <c r="AE61" s="541" t="s">
        <v>392</v>
      </c>
      <c r="AF61" s="542"/>
      <c r="AG61" s="542"/>
      <c r="AH61" s="543"/>
      <c r="AI61" s="126" t="s">
        <v>236</v>
      </c>
      <c r="AJ61" s="126" t="s">
        <v>328</v>
      </c>
      <c r="AK61" s="544" t="s">
        <v>347</v>
      </c>
      <c r="AL61" s="545"/>
      <c r="AM61" s="329" t="s">
        <v>631</v>
      </c>
      <c r="AP61" s="130"/>
      <c r="AQ61" s="89"/>
    </row>
    <row r="62" spans="1:43" ht="13.15" customHeight="1" x14ac:dyDescent="0.2">
      <c r="A62" s="178" t="s">
        <v>281</v>
      </c>
      <c r="B62" s="374"/>
      <c r="C62" s="24"/>
      <c r="D62" s="23"/>
      <c r="E62" s="155"/>
      <c r="F62" s="80"/>
      <c r="G62" s="80"/>
      <c r="H62" s="80"/>
      <c r="I62" s="80"/>
      <c r="J62" s="80"/>
      <c r="K62" s="80"/>
      <c r="L62" s="80"/>
      <c r="M62" s="80"/>
      <c r="N62" s="80"/>
      <c r="O62" s="80"/>
      <c r="P62" s="80"/>
      <c r="Q62" s="80"/>
      <c r="R62" s="80"/>
      <c r="S62" s="88"/>
      <c r="U62" s="89"/>
      <c r="V62" s="21"/>
      <c r="W62" s="128"/>
      <c r="X62" s="260"/>
      <c r="Y62" s="160"/>
      <c r="Z62" s="160"/>
      <c r="AA62" s="160"/>
      <c r="AB62" s="160"/>
      <c r="AE62" s="541"/>
      <c r="AF62" s="542"/>
      <c r="AG62" s="542"/>
      <c r="AH62" s="543"/>
      <c r="AI62" s="126"/>
      <c r="AJ62" s="126"/>
      <c r="AK62" s="544"/>
      <c r="AL62" s="545"/>
      <c r="AM62" s="88"/>
      <c r="AP62" s="130"/>
      <c r="AQ62" s="89"/>
    </row>
    <row r="63" spans="1:43" ht="13.15" customHeight="1" x14ac:dyDescent="0.2">
      <c r="A63" s="178" t="s">
        <v>282</v>
      </c>
      <c r="B63" s="374"/>
      <c r="C63" s="23"/>
      <c r="D63" s="22"/>
      <c r="E63" s="155"/>
      <c r="F63" s="80"/>
      <c r="G63" s="80"/>
      <c r="H63" s="80"/>
      <c r="I63" s="80"/>
      <c r="J63" s="80"/>
      <c r="K63" s="80"/>
      <c r="L63" s="80"/>
      <c r="M63" s="80"/>
      <c r="N63" s="80"/>
      <c r="O63" s="80"/>
      <c r="P63" s="80"/>
      <c r="Q63" s="80"/>
      <c r="R63" s="80"/>
      <c r="S63" s="94"/>
      <c r="T63" s="95"/>
      <c r="U63" s="96"/>
      <c r="V63" s="21"/>
      <c r="W63" s="132"/>
      <c r="X63" s="94"/>
      <c r="Y63" s="95"/>
      <c r="Z63" s="95"/>
      <c r="AA63" s="95"/>
      <c r="AB63" s="95"/>
      <c r="AC63" s="95"/>
      <c r="AD63" s="133"/>
      <c r="AE63" s="134"/>
      <c r="AF63" s="95"/>
      <c r="AG63" s="95"/>
      <c r="AH63" s="133"/>
      <c r="AI63" s="135"/>
      <c r="AJ63" s="135"/>
      <c r="AK63" s="134"/>
      <c r="AL63" s="131"/>
      <c r="AM63" s="95"/>
      <c r="AN63" s="95"/>
      <c r="AO63" s="95"/>
      <c r="AP63" s="131"/>
      <c r="AQ63" s="89"/>
    </row>
    <row r="64" spans="1:43" ht="13.15" customHeight="1" x14ac:dyDescent="0.2">
      <c r="A64" s="741" t="s">
        <v>659</v>
      </c>
      <c r="B64" s="742"/>
      <c r="C64" s="689"/>
      <c r="D64" s="689"/>
      <c r="E64" s="689"/>
      <c r="F64" s="689"/>
      <c r="G64" s="689"/>
      <c r="H64" s="689"/>
      <c r="I64" s="689"/>
      <c r="J64" s="689"/>
      <c r="K64" s="689"/>
      <c r="L64" s="689"/>
      <c r="M64" s="689"/>
      <c r="N64" s="689"/>
      <c r="O64" s="689"/>
      <c r="P64" s="689"/>
      <c r="Q64" s="689"/>
      <c r="R64" s="743"/>
      <c r="S64" s="327" t="s">
        <v>479</v>
      </c>
      <c r="T64" s="91"/>
      <c r="U64" s="92"/>
      <c r="V64" s="21"/>
      <c r="AQ64" s="89"/>
    </row>
    <row r="65" spans="1:43" ht="13.15" customHeight="1" x14ac:dyDescent="0.2">
      <c r="A65" s="744"/>
      <c r="B65" s="692"/>
      <c r="C65" s="692"/>
      <c r="D65" s="692"/>
      <c r="E65" s="692"/>
      <c r="F65" s="692"/>
      <c r="G65" s="692"/>
      <c r="H65" s="692"/>
      <c r="I65" s="692"/>
      <c r="J65" s="692"/>
      <c r="K65" s="692"/>
      <c r="L65" s="692"/>
      <c r="M65" s="692"/>
      <c r="N65" s="692"/>
      <c r="O65" s="692"/>
      <c r="P65" s="692"/>
      <c r="Q65" s="692"/>
      <c r="R65" s="745"/>
      <c r="S65" s="93" t="s">
        <v>480</v>
      </c>
      <c r="U65" s="89"/>
      <c r="V65" s="21"/>
      <c r="AQ65" s="89"/>
    </row>
    <row r="66" spans="1:43" ht="13.15" customHeight="1" x14ac:dyDescent="0.2">
      <c r="A66" s="744"/>
      <c r="B66" s="692"/>
      <c r="C66" s="692"/>
      <c r="D66" s="692"/>
      <c r="E66" s="692"/>
      <c r="F66" s="692"/>
      <c r="G66" s="692"/>
      <c r="H66" s="692"/>
      <c r="I66" s="692"/>
      <c r="J66" s="692"/>
      <c r="K66" s="692"/>
      <c r="L66" s="692"/>
      <c r="M66" s="692"/>
      <c r="N66" s="692"/>
      <c r="O66" s="692"/>
      <c r="P66" s="692"/>
      <c r="Q66" s="692"/>
      <c r="R66" s="745"/>
      <c r="S66" s="93" t="s">
        <v>486</v>
      </c>
      <c r="U66" s="89"/>
      <c r="V66" s="21"/>
      <c r="AQ66" s="89"/>
    </row>
    <row r="67" spans="1:43" ht="13.15" customHeight="1" x14ac:dyDescent="0.2">
      <c r="A67" s="744"/>
      <c r="B67" s="692"/>
      <c r="C67" s="692"/>
      <c r="D67" s="692"/>
      <c r="E67" s="692"/>
      <c r="F67" s="692"/>
      <c r="G67" s="692"/>
      <c r="H67" s="692"/>
      <c r="I67" s="692"/>
      <c r="J67" s="692"/>
      <c r="K67" s="692"/>
      <c r="L67" s="692"/>
      <c r="M67" s="692"/>
      <c r="N67" s="692"/>
      <c r="O67" s="692"/>
      <c r="P67" s="692"/>
      <c r="Q67" s="692"/>
      <c r="R67" s="745"/>
      <c r="S67" s="93" t="s">
        <v>487</v>
      </c>
      <c r="U67" s="89"/>
      <c r="V67" s="21"/>
      <c r="AQ67" s="89"/>
    </row>
    <row r="68" spans="1:43" ht="13.15" customHeight="1" x14ac:dyDescent="0.2">
      <c r="A68" s="744"/>
      <c r="B68" s="692"/>
      <c r="C68" s="692"/>
      <c r="D68" s="692"/>
      <c r="E68" s="692"/>
      <c r="F68" s="692"/>
      <c r="G68" s="692"/>
      <c r="H68" s="692"/>
      <c r="I68" s="692"/>
      <c r="J68" s="692"/>
      <c r="K68" s="692"/>
      <c r="L68" s="692"/>
      <c r="M68" s="692"/>
      <c r="N68" s="692"/>
      <c r="O68" s="692"/>
      <c r="P68" s="692"/>
      <c r="Q68" s="692"/>
      <c r="R68" s="745"/>
      <c r="S68" s="93" t="s">
        <v>488</v>
      </c>
      <c r="U68" s="89"/>
      <c r="V68" s="21"/>
      <c r="AQ68" s="89"/>
    </row>
    <row r="69" spans="1:43" ht="13.15" customHeight="1" x14ac:dyDescent="0.2">
      <c r="A69" s="744"/>
      <c r="B69" s="692"/>
      <c r="C69" s="692"/>
      <c r="D69" s="692"/>
      <c r="E69" s="692"/>
      <c r="F69" s="692"/>
      <c r="G69" s="692"/>
      <c r="H69" s="692"/>
      <c r="I69" s="692"/>
      <c r="J69" s="692"/>
      <c r="K69" s="692"/>
      <c r="L69" s="692"/>
      <c r="M69" s="692"/>
      <c r="N69" s="692"/>
      <c r="O69" s="692"/>
      <c r="P69" s="692"/>
      <c r="Q69" s="692"/>
      <c r="R69" s="745"/>
      <c r="S69" s="60" t="s">
        <v>499</v>
      </c>
      <c r="U69" s="89"/>
      <c r="V69" s="21"/>
      <c r="AQ69" s="89"/>
    </row>
    <row r="70" spans="1:43" ht="13.15" customHeight="1" x14ac:dyDescent="0.2">
      <c r="A70" s="622" t="s">
        <v>535</v>
      </c>
      <c r="B70" s="623"/>
      <c r="C70" s="623"/>
      <c r="D70" s="623"/>
      <c r="E70" s="623"/>
      <c r="F70" s="623"/>
      <c r="G70" s="623"/>
      <c r="H70" s="623"/>
      <c r="I70" s="623"/>
      <c r="J70" s="623"/>
      <c r="K70" s="623"/>
      <c r="L70" s="623"/>
      <c r="M70" s="623"/>
      <c r="N70" s="623"/>
      <c r="O70" s="623"/>
      <c r="P70" s="623"/>
      <c r="Q70" s="623"/>
      <c r="R70" s="623"/>
      <c r="S70" s="93" t="s">
        <v>498</v>
      </c>
      <c r="U70" s="89"/>
      <c r="V70" s="21"/>
      <c r="AQ70" s="89"/>
    </row>
    <row r="71" spans="1:43" ht="13.15" customHeight="1" x14ac:dyDescent="0.2">
      <c r="A71" s="19" t="s">
        <v>260</v>
      </c>
      <c r="B71" s="435"/>
      <c r="C71" s="583" t="s">
        <v>269</v>
      </c>
      <c r="D71" s="602"/>
      <c r="E71" s="602"/>
      <c r="F71" s="602"/>
      <c r="G71" s="602"/>
      <c r="H71" s="602"/>
      <c r="I71" s="602"/>
      <c r="J71" s="602"/>
      <c r="K71" s="602"/>
      <c r="L71" s="602"/>
      <c r="M71" s="602"/>
      <c r="N71" s="602"/>
      <c r="O71" s="602"/>
      <c r="P71" s="602"/>
      <c r="Q71" s="602"/>
      <c r="R71" s="602"/>
      <c r="S71" s="93" t="s">
        <v>489</v>
      </c>
      <c r="U71" s="89"/>
      <c r="V71" s="21"/>
      <c r="AQ71" s="89"/>
    </row>
    <row r="72" spans="1:43" ht="13.15" customHeight="1" x14ac:dyDescent="0.2">
      <c r="A72" s="375" t="s">
        <v>478</v>
      </c>
      <c r="B72" s="463"/>
      <c r="C72" s="587" t="s">
        <v>269</v>
      </c>
      <c r="D72" s="609"/>
      <c r="E72" s="609"/>
      <c r="F72" s="609"/>
      <c r="G72" s="609"/>
      <c r="H72" s="609"/>
      <c r="I72" s="609"/>
      <c r="J72" s="609"/>
      <c r="K72" s="609"/>
      <c r="L72" s="609"/>
      <c r="M72" s="609"/>
      <c r="N72" s="609"/>
      <c r="O72" s="609"/>
      <c r="P72" s="609"/>
      <c r="Q72" s="609"/>
      <c r="R72" s="609"/>
      <c r="S72" s="93" t="s">
        <v>490</v>
      </c>
      <c r="U72" s="89"/>
      <c r="V72" s="21"/>
      <c r="AQ72" s="89"/>
    </row>
    <row r="73" spans="1:43" ht="13.15" customHeight="1" x14ac:dyDescent="0.2">
      <c r="A73" s="19" t="s">
        <v>372</v>
      </c>
      <c r="B73" s="60"/>
      <c r="C73" s="583" t="s">
        <v>320</v>
      </c>
      <c r="D73" s="600"/>
      <c r="E73" s="600"/>
      <c r="F73" s="600"/>
      <c r="G73" s="600"/>
      <c r="H73" s="600"/>
      <c r="I73" s="600"/>
      <c r="J73" s="600"/>
      <c r="K73" s="600"/>
      <c r="L73" s="600"/>
      <c r="M73" s="600"/>
      <c r="N73" s="600"/>
      <c r="O73" s="600"/>
      <c r="P73" s="600"/>
      <c r="Q73" s="600"/>
      <c r="R73" s="600"/>
      <c r="S73" s="93" t="s">
        <v>491</v>
      </c>
      <c r="U73" s="89"/>
      <c r="V73" s="21"/>
      <c r="AQ73" s="89"/>
    </row>
    <row r="74" spans="1:43" ht="13.15" customHeight="1" x14ac:dyDescent="0.2">
      <c r="A74" s="19" t="s">
        <v>373</v>
      </c>
      <c r="B74" s="60"/>
      <c r="C74" s="610" t="s">
        <v>626</v>
      </c>
      <c r="D74" s="611"/>
      <c r="E74" s="611"/>
      <c r="F74" s="611"/>
      <c r="G74" s="611"/>
      <c r="H74" s="611"/>
      <c r="I74" s="611"/>
      <c r="J74" s="611"/>
      <c r="K74" s="611"/>
      <c r="L74" s="611"/>
      <c r="M74" s="611"/>
      <c r="N74" s="611"/>
      <c r="O74" s="611"/>
      <c r="P74" s="611"/>
      <c r="Q74" s="611"/>
      <c r="R74" s="612"/>
      <c r="S74" s="93" t="s">
        <v>492</v>
      </c>
      <c r="U74" s="89"/>
      <c r="V74" s="21"/>
      <c r="AQ74" s="89"/>
    </row>
    <row r="75" spans="1:43" ht="13.15" customHeight="1" x14ac:dyDescent="0.2">
      <c r="A75" s="19" t="s">
        <v>261</v>
      </c>
      <c r="B75" s="60"/>
      <c r="C75" s="610" t="s">
        <v>321</v>
      </c>
      <c r="D75" s="613"/>
      <c r="E75" s="613"/>
      <c r="F75" s="613"/>
      <c r="G75" s="613"/>
      <c r="H75" s="613"/>
      <c r="I75" s="613"/>
      <c r="J75" s="613"/>
      <c r="K75" s="613"/>
      <c r="L75" s="613"/>
      <c r="M75" s="613"/>
      <c r="N75" s="613"/>
      <c r="O75" s="613"/>
      <c r="P75" s="613"/>
      <c r="Q75" s="613"/>
      <c r="R75" s="614"/>
      <c r="S75" s="93" t="s">
        <v>493</v>
      </c>
      <c r="U75" s="89"/>
      <c r="V75" s="21"/>
      <c r="AQ75" s="89"/>
    </row>
    <row r="76" spans="1:43" ht="13.15" customHeight="1" x14ac:dyDescent="0.2">
      <c r="A76" s="19" t="s">
        <v>262</v>
      </c>
      <c r="B76" s="60"/>
      <c r="C76" s="583" t="s">
        <v>324</v>
      </c>
      <c r="D76" s="600"/>
      <c r="E76" s="600"/>
      <c r="F76" s="600"/>
      <c r="G76" s="600"/>
      <c r="H76" s="600"/>
      <c r="I76" s="600"/>
      <c r="J76" s="600"/>
      <c r="K76" s="600"/>
      <c r="L76" s="600"/>
      <c r="M76" s="600"/>
      <c r="N76" s="600"/>
      <c r="O76" s="600"/>
      <c r="P76" s="600"/>
      <c r="Q76" s="600"/>
      <c r="R76" s="600"/>
      <c r="S76" s="88"/>
      <c r="U76" s="89"/>
      <c r="V76" s="21"/>
      <c r="AQ76" s="89"/>
    </row>
    <row r="77" spans="1:43" ht="13.15" customHeight="1" x14ac:dyDescent="0.2">
      <c r="A77" s="19"/>
      <c r="B77" s="60"/>
      <c r="C77" s="583" t="s">
        <v>228</v>
      </c>
      <c r="D77" s="600"/>
      <c r="E77" s="600"/>
      <c r="F77" s="600"/>
      <c r="G77" s="600"/>
      <c r="H77" s="600"/>
      <c r="I77" s="600"/>
      <c r="J77" s="600"/>
      <c r="K77" s="600"/>
      <c r="L77" s="600"/>
      <c r="M77" s="600"/>
      <c r="N77" s="600"/>
      <c r="O77" s="600"/>
      <c r="P77" s="600"/>
      <c r="Q77" s="600"/>
      <c r="R77" s="600"/>
      <c r="S77" s="88"/>
      <c r="U77" s="89"/>
      <c r="V77" s="21"/>
      <c r="AQ77" s="89"/>
    </row>
    <row r="78" spans="1:43" ht="13.15" customHeight="1" thickBot="1" x14ac:dyDescent="0.25">
      <c r="A78" s="19"/>
      <c r="B78" s="60"/>
      <c r="C78" s="583" t="s">
        <v>270</v>
      </c>
      <c r="D78" s="602"/>
      <c r="E78" s="602"/>
      <c r="F78" s="602"/>
      <c r="G78" s="602"/>
      <c r="H78" s="602"/>
      <c r="I78" s="602"/>
      <c r="J78" s="602"/>
      <c r="K78" s="602"/>
      <c r="L78" s="602"/>
      <c r="M78" s="602"/>
      <c r="N78" s="602"/>
      <c r="O78" s="602"/>
      <c r="P78" s="602"/>
      <c r="Q78" s="602"/>
      <c r="R78" s="602"/>
      <c r="S78" s="326"/>
      <c r="T78" s="143"/>
      <c r="U78" s="144"/>
      <c r="V78" s="21"/>
      <c r="W78" s="143"/>
      <c r="X78" s="143"/>
      <c r="Y78" s="143"/>
      <c r="Z78" s="143"/>
      <c r="AA78" s="143"/>
      <c r="AB78" s="143"/>
      <c r="AC78" s="143"/>
      <c r="AD78" s="143"/>
      <c r="AE78" s="143"/>
      <c r="AF78" s="143"/>
      <c r="AG78" s="143"/>
      <c r="AH78" s="143"/>
      <c r="AI78" s="143"/>
      <c r="AJ78" s="143"/>
      <c r="AK78" s="143"/>
      <c r="AL78" s="143"/>
      <c r="AM78" s="143"/>
      <c r="AN78" s="143"/>
      <c r="AO78" s="143"/>
      <c r="AP78" s="143"/>
      <c r="AQ78" s="89"/>
    </row>
    <row r="79" spans="1:43" ht="13.15" customHeight="1" x14ac:dyDescent="0.2">
      <c r="A79" s="162" t="s">
        <v>209</v>
      </c>
      <c r="B79" s="464"/>
      <c r="C79" s="18" t="s">
        <v>208</v>
      </c>
      <c r="D79" s="16"/>
      <c r="E79" s="18" t="s">
        <v>207</v>
      </c>
      <c r="F79" s="18"/>
      <c r="G79" s="18" t="s">
        <v>206</v>
      </c>
      <c r="H79" s="17" t="e">
        <f>#REF!</f>
        <v>#REF!</v>
      </c>
      <c r="I79" s="16"/>
      <c r="J79" s="16"/>
      <c r="K79" s="16"/>
      <c r="L79" s="16"/>
      <c r="M79" s="16"/>
      <c r="N79" s="16"/>
      <c r="O79" s="16"/>
      <c r="P79" s="16"/>
      <c r="Q79" s="16"/>
      <c r="R79" s="16"/>
      <c r="S79" s="103"/>
      <c r="T79" s="103"/>
      <c r="U79" s="145"/>
      <c r="V79" s="162" t="s">
        <v>209</v>
      </c>
      <c r="W79" s="16"/>
      <c r="X79" s="163"/>
      <c r="Y79" s="18" t="s">
        <v>208</v>
      </c>
      <c r="Z79" s="16"/>
      <c r="AA79" s="18" t="s">
        <v>207</v>
      </c>
      <c r="AB79" s="18"/>
      <c r="AC79" s="18" t="s">
        <v>206</v>
      </c>
      <c r="AD79" s="17" t="e">
        <f>H79</f>
        <v>#REF!</v>
      </c>
      <c r="AE79" s="16"/>
      <c r="AF79" s="16"/>
      <c r="AG79" s="16"/>
      <c r="AH79" s="16"/>
      <c r="AI79" s="16"/>
      <c r="AJ79" s="16"/>
      <c r="AK79" s="16"/>
      <c r="AL79" s="16"/>
      <c r="AM79" s="16"/>
      <c r="AN79" s="103"/>
      <c r="AO79" s="103"/>
      <c r="AP79" s="103"/>
      <c r="AQ79" s="145"/>
    </row>
    <row r="80" spans="1:43" ht="13.15" customHeight="1" thickBot="1" x14ac:dyDescent="0.25">
      <c r="A80" s="159" t="e">
        <f>#REF!</f>
        <v>#REF!</v>
      </c>
      <c r="B80" s="175"/>
      <c r="C80" s="603" t="e">
        <f>#REF!</f>
        <v>#REF!</v>
      </c>
      <c r="D80" s="604"/>
      <c r="E80" s="605" t="e">
        <f>#REF!</f>
        <v>#REF!</v>
      </c>
      <c r="F80" s="606"/>
      <c r="G80" s="15"/>
      <c r="H80" s="14"/>
      <c r="I80" s="14"/>
      <c r="J80" s="14"/>
      <c r="K80" s="14"/>
      <c r="L80" s="14"/>
      <c r="M80" s="14"/>
      <c r="N80" s="14"/>
      <c r="O80" s="14"/>
      <c r="P80" s="14"/>
      <c r="Q80" s="14"/>
      <c r="R80" s="14"/>
      <c r="S80" s="143"/>
      <c r="T80" s="143"/>
      <c r="U80" s="144"/>
      <c r="V80" s="121"/>
      <c r="W80" s="14" t="e">
        <f>A80</f>
        <v>#REF!</v>
      </c>
      <c r="X80" s="164"/>
      <c r="Y80" s="603" t="e">
        <f>C80</f>
        <v>#REF!</v>
      </c>
      <c r="Z80" s="607"/>
      <c r="AA80" s="605" t="e">
        <f>E80</f>
        <v>#REF!</v>
      </c>
      <c r="AB80" s="608"/>
      <c r="AC80" s="15"/>
      <c r="AD80" s="14"/>
      <c r="AE80" s="14"/>
      <c r="AF80" s="14"/>
      <c r="AG80" s="14"/>
      <c r="AH80" s="14"/>
      <c r="AI80" s="14"/>
      <c r="AJ80" s="14"/>
      <c r="AK80" s="14"/>
      <c r="AL80" s="14"/>
      <c r="AM80" s="14"/>
      <c r="AN80" s="143"/>
      <c r="AO80" s="143"/>
      <c r="AP80" s="143"/>
      <c r="AQ80" s="144"/>
    </row>
  </sheetData>
  <mergeCells count="150">
    <mergeCell ref="AM55:AP56"/>
    <mergeCell ref="S10:U12"/>
    <mergeCell ref="S15:U16"/>
    <mergeCell ref="S39:U40"/>
    <mergeCell ref="V19:V37"/>
    <mergeCell ref="X39:AP39"/>
    <mergeCell ref="C7:D7"/>
    <mergeCell ref="M7:P7"/>
    <mergeCell ref="Y7:Z7"/>
    <mergeCell ref="AI7:AL7"/>
    <mergeCell ref="C17:D17"/>
    <mergeCell ref="E17:J18"/>
    <mergeCell ref="K17:N18"/>
    <mergeCell ref="O17:O18"/>
    <mergeCell ref="P17:P18"/>
    <mergeCell ref="Q17:R18"/>
    <mergeCell ref="S17:U18"/>
    <mergeCell ref="X18:AP18"/>
    <mergeCell ref="C11:R11"/>
    <mergeCell ref="K35:N35"/>
    <mergeCell ref="Q35:R35"/>
    <mergeCell ref="Q33:R33"/>
    <mergeCell ref="K22:N22"/>
    <mergeCell ref="Q22:R22"/>
    <mergeCell ref="E33:J33"/>
    <mergeCell ref="E34:J34"/>
    <mergeCell ref="K33:N33"/>
    <mergeCell ref="E30:J30"/>
    <mergeCell ref="K30:N30"/>
    <mergeCell ref="Q30:R30"/>
    <mergeCell ref="E24:J24"/>
    <mergeCell ref="E29:J29"/>
    <mergeCell ref="K24:N24"/>
    <mergeCell ref="K29:N29"/>
    <mergeCell ref="Q29:R29"/>
    <mergeCell ref="Q24:R24"/>
    <mergeCell ref="K34:N34"/>
    <mergeCell ref="Q34:R34"/>
    <mergeCell ref="E27:J27"/>
    <mergeCell ref="K27:N27"/>
    <mergeCell ref="Q27:R27"/>
    <mergeCell ref="AE60:AH60"/>
    <mergeCell ref="AK60:AL60"/>
    <mergeCell ref="X61:AD61"/>
    <mergeCell ref="AE58:AH58"/>
    <mergeCell ref="AK58:AL58"/>
    <mergeCell ref="E59:J59"/>
    <mergeCell ref="K59:N59"/>
    <mergeCell ref="Q59:R59"/>
    <mergeCell ref="X59:AD59"/>
    <mergeCell ref="AE59:AH59"/>
    <mergeCell ref="AK59:AL59"/>
    <mergeCell ref="AE61:AH61"/>
    <mergeCell ref="E60:J60"/>
    <mergeCell ref="K60:N60"/>
    <mergeCell ref="Q60:R60"/>
    <mergeCell ref="X60:AD60"/>
    <mergeCell ref="X57:AD57"/>
    <mergeCell ref="AE57:AH57"/>
    <mergeCell ref="AK57:AL57"/>
    <mergeCell ref="X58:AD58"/>
    <mergeCell ref="E55:J55"/>
    <mergeCell ref="K55:N55"/>
    <mergeCell ref="Q55:R55"/>
    <mergeCell ref="E54:J54"/>
    <mergeCell ref="K54:N54"/>
    <mergeCell ref="W55:W56"/>
    <mergeCell ref="X55:AD56"/>
    <mergeCell ref="AE55:AH56"/>
    <mergeCell ref="AI55:AI56"/>
    <mergeCell ref="AJ55:AJ56"/>
    <mergeCell ref="AK55:AL56"/>
    <mergeCell ref="A70:R70"/>
    <mergeCell ref="C78:R78"/>
    <mergeCell ref="C80:D80"/>
    <mergeCell ref="E80:F80"/>
    <mergeCell ref="AK61:AL61"/>
    <mergeCell ref="AE62:AH62"/>
    <mergeCell ref="AK62:AL62"/>
    <mergeCell ref="A64:R69"/>
    <mergeCell ref="Y80:Z80"/>
    <mergeCell ref="AA80:AB80"/>
    <mergeCell ref="C71:R71"/>
    <mergeCell ref="C72:R72"/>
    <mergeCell ref="C73:R73"/>
    <mergeCell ref="C74:R74"/>
    <mergeCell ref="C75:R75"/>
    <mergeCell ref="C76:R76"/>
    <mergeCell ref="C77:R77"/>
    <mergeCell ref="Q49:R49"/>
    <mergeCell ref="Q48:R48"/>
    <mergeCell ref="Q54:R54"/>
    <mergeCell ref="E42:J42"/>
    <mergeCell ref="E45:J45"/>
    <mergeCell ref="E48:J48"/>
    <mergeCell ref="E51:J51"/>
    <mergeCell ref="K42:N42"/>
    <mergeCell ref="K45:N45"/>
    <mergeCell ref="K48:N48"/>
    <mergeCell ref="K51:N51"/>
    <mergeCell ref="Q51:R51"/>
    <mergeCell ref="E46:J46"/>
    <mergeCell ref="K46:N46"/>
    <mergeCell ref="Q46:R46"/>
    <mergeCell ref="Q42:R42"/>
    <mergeCell ref="E52:J52"/>
    <mergeCell ref="K52:N52"/>
    <mergeCell ref="Q52:R52"/>
    <mergeCell ref="Q53:R53"/>
    <mergeCell ref="E49:J49"/>
    <mergeCell ref="AK6:AL6"/>
    <mergeCell ref="E58:J58"/>
    <mergeCell ref="K58:N58"/>
    <mergeCell ref="Q58:R58"/>
    <mergeCell ref="Q39:R39"/>
    <mergeCell ref="E39:J39"/>
    <mergeCell ref="K39:N39"/>
    <mergeCell ref="K49:N49"/>
    <mergeCell ref="Q45:R45"/>
    <mergeCell ref="E38:J38"/>
    <mergeCell ref="K38:N38"/>
    <mergeCell ref="Q38:R38"/>
    <mergeCell ref="E37:J37"/>
    <mergeCell ref="K37:N37"/>
    <mergeCell ref="Q37:R37"/>
    <mergeCell ref="E35:J35"/>
    <mergeCell ref="E36:J36"/>
    <mergeCell ref="K36:N36"/>
    <mergeCell ref="Q36:R36"/>
    <mergeCell ref="S29:S38"/>
    <mergeCell ref="E19:J19"/>
    <mergeCell ref="S55:U55"/>
    <mergeCell ref="E53:J53"/>
    <mergeCell ref="K53:N53"/>
    <mergeCell ref="O6:P6"/>
    <mergeCell ref="K19:N19"/>
    <mergeCell ref="Q19:R19"/>
    <mergeCell ref="E20:J20"/>
    <mergeCell ref="K20:N20"/>
    <mergeCell ref="Q20:R20"/>
    <mergeCell ref="E21:J21"/>
    <mergeCell ref="K21:N21"/>
    <mergeCell ref="E26:J26"/>
    <mergeCell ref="K26:N26"/>
    <mergeCell ref="Q26:R26"/>
    <mergeCell ref="Q21:R21"/>
    <mergeCell ref="E22:J22"/>
    <mergeCell ref="E25:J25"/>
    <mergeCell ref="K25:N25"/>
    <mergeCell ref="Q25:R25"/>
  </mergeCells>
  <phoneticPr fontId="5" type="noConversion"/>
  <pageMargins left="0.70866141732283472" right="0.15748031496062992" top="0.51181102362204722" bottom="0.43307086614173229" header="0.27559055118110237" footer="0.27559055118110237"/>
  <pageSetup paperSize="9" scale="75" pageOrder="overThenDown" orientation="portrait" r:id="rId1"/>
  <headerFooter alignWithMargins="0">
    <oddHeader>&amp;LPIRS Vorlagen-Projekt&amp;C&amp;8Project: Template&amp;R&amp;G</oddHeader>
    <oddFooter xml:space="preserve">&amp;L&amp;8 &amp;F _&amp;A&amp;R&amp;8Page &amp;P+8 of [&amp;N+8] </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59D35-9902-4658-BFCB-34BB9894832E}">
  <sheetPr codeName="Tabelle21"/>
  <dimension ref="A1:AQ80"/>
  <sheetViews>
    <sheetView showWhiteSpace="0" view="pageLayout" zoomScaleNormal="100" workbookViewId="0">
      <selection activeCell="S10" sqref="S10:U12"/>
    </sheetView>
  </sheetViews>
  <sheetFormatPr defaultColWidth="0" defaultRowHeight="12.75" x14ac:dyDescent="0.2"/>
  <cols>
    <col min="1" max="1" width="14.28515625" style="13" customWidth="1"/>
    <col min="2" max="2" width="3.5703125" style="13" customWidth="1"/>
    <col min="3" max="21" width="5.7109375" style="13" customWidth="1"/>
    <col min="22" max="22" width="4.140625" style="13" customWidth="1"/>
    <col min="23" max="23" width="6.140625" style="13" customWidth="1"/>
    <col min="24" max="42" width="5.7109375" style="13" customWidth="1"/>
    <col min="43" max="59" width="6.140625" style="13" customWidth="1"/>
    <col min="60" max="16384" width="0" style="13" hidden="1"/>
  </cols>
  <sheetData>
    <row r="1" spans="1:43" ht="13.15" customHeight="1" x14ac:dyDescent="0.2">
      <c r="A1" s="73"/>
      <c r="B1" s="72"/>
      <c r="C1" s="72"/>
      <c r="D1" s="71"/>
      <c r="E1" s="16"/>
      <c r="F1" s="16"/>
      <c r="G1" s="16"/>
      <c r="H1" s="16"/>
      <c r="I1" s="16"/>
      <c r="J1" s="16"/>
      <c r="K1" s="114" t="s">
        <v>253</v>
      </c>
      <c r="L1" s="116"/>
      <c r="M1" s="70"/>
      <c r="N1" s="16"/>
      <c r="O1" s="16"/>
      <c r="P1" s="16" t="s">
        <v>714</v>
      </c>
      <c r="Q1" s="69"/>
      <c r="R1" s="68" t="s">
        <v>230</v>
      </c>
      <c r="S1" s="68"/>
      <c r="T1" s="67" t="s">
        <v>342</v>
      </c>
      <c r="U1" s="66"/>
      <c r="V1" s="162"/>
      <c r="W1" s="16"/>
      <c r="X1" s="72"/>
      <c r="Y1" s="72"/>
      <c r="Z1" s="71"/>
      <c r="AA1" s="16"/>
      <c r="AB1" s="16"/>
      <c r="AC1" s="16"/>
      <c r="AD1" s="16"/>
      <c r="AE1" s="16"/>
      <c r="AF1" s="342"/>
      <c r="AG1" s="230" t="s">
        <v>253</v>
      </c>
      <c r="AH1" s="70"/>
      <c r="AI1" s="16"/>
      <c r="AJ1" s="16"/>
      <c r="AK1" s="16"/>
      <c r="AL1" s="68" t="str">
        <f>P1</f>
        <v>PT01</v>
      </c>
      <c r="AM1" s="69"/>
      <c r="AN1" s="68" t="s">
        <v>230</v>
      </c>
      <c r="AO1" s="68"/>
      <c r="AP1" s="67" t="str">
        <f>T1</f>
        <v>4E0 (1.5415)</v>
      </c>
      <c r="AQ1" s="66"/>
    </row>
    <row r="2" spans="1:43" ht="13.15" customHeight="1" x14ac:dyDescent="0.2">
      <c r="A2" s="63" t="s">
        <v>276</v>
      </c>
      <c r="B2" s="61"/>
      <c r="C2" s="62" t="s">
        <v>423</v>
      </c>
      <c r="D2" s="61"/>
      <c r="E2" s="60"/>
      <c r="F2" s="60"/>
      <c r="G2" s="60"/>
      <c r="H2" s="60"/>
      <c r="I2" s="60"/>
      <c r="J2" s="59"/>
      <c r="K2" s="100" t="s">
        <v>232</v>
      </c>
      <c r="L2" s="74"/>
      <c r="M2" s="81"/>
      <c r="N2" s="65"/>
      <c r="O2" s="65"/>
      <c r="P2" s="523">
        <v>91</v>
      </c>
      <c r="Q2" s="58" t="s">
        <v>231</v>
      </c>
      <c r="R2" s="65" t="s">
        <v>252</v>
      </c>
      <c r="S2" s="65"/>
      <c r="T2" s="81" t="s">
        <v>336</v>
      </c>
      <c r="U2" s="64"/>
      <c r="V2" s="19" t="s">
        <v>276</v>
      </c>
      <c r="W2" s="60"/>
      <c r="X2" s="61"/>
      <c r="Y2" s="62" t="str">
        <f>C2</f>
        <v>HP-Steam/Live Steam (T ≥ 400°C ÷ T &lt; 470°C)</v>
      </c>
      <c r="Z2" s="61"/>
      <c r="AA2" s="60"/>
      <c r="AB2" s="60"/>
      <c r="AC2" s="60"/>
      <c r="AD2" s="60"/>
      <c r="AE2" s="60"/>
      <c r="AF2" s="343"/>
      <c r="AG2" s="81" t="s">
        <v>232</v>
      </c>
      <c r="AH2" s="81"/>
      <c r="AI2" s="65"/>
      <c r="AJ2" s="65"/>
      <c r="AK2" s="65"/>
      <c r="AL2" s="523">
        <f>P2</f>
        <v>91</v>
      </c>
      <c r="AM2" s="58" t="s">
        <v>231</v>
      </c>
      <c r="AN2" s="65" t="s">
        <v>252</v>
      </c>
      <c r="AO2" s="65"/>
      <c r="AP2" s="81" t="str">
        <f>T2</f>
        <v>EN PN160</v>
      </c>
      <c r="AQ2" s="64"/>
    </row>
    <row r="3" spans="1:43" ht="13.15" customHeight="1" x14ac:dyDescent="0.2">
      <c r="A3" s="63"/>
      <c r="B3" s="61"/>
      <c r="C3" s="62"/>
      <c r="D3" s="61"/>
      <c r="E3" s="60"/>
      <c r="F3" s="60"/>
      <c r="G3" s="60"/>
      <c r="H3" s="60"/>
      <c r="I3" s="60"/>
      <c r="J3" s="59"/>
      <c r="K3" s="100" t="s">
        <v>233</v>
      </c>
      <c r="L3" s="75"/>
      <c r="M3" s="101"/>
      <c r="N3" s="65"/>
      <c r="O3" s="65"/>
      <c r="P3" s="523">
        <v>470</v>
      </c>
      <c r="Q3" s="58" t="s">
        <v>223</v>
      </c>
      <c r="R3" s="76" t="s">
        <v>229</v>
      </c>
      <c r="S3" s="77"/>
      <c r="T3" s="81" t="s">
        <v>227</v>
      </c>
      <c r="U3" s="57"/>
      <c r="V3" s="51"/>
      <c r="W3" s="80"/>
      <c r="X3" s="61"/>
      <c r="Y3" s="62"/>
      <c r="Z3" s="61"/>
      <c r="AA3" s="60"/>
      <c r="AB3" s="60"/>
      <c r="AC3" s="60"/>
      <c r="AD3" s="60"/>
      <c r="AE3" s="60"/>
      <c r="AF3" s="343"/>
      <c r="AG3" s="81" t="s">
        <v>233</v>
      </c>
      <c r="AH3" s="101"/>
      <c r="AI3" s="65"/>
      <c r="AJ3" s="65"/>
      <c r="AK3" s="65"/>
      <c r="AL3" s="523">
        <f>P3</f>
        <v>470</v>
      </c>
      <c r="AM3" s="58" t="s">
        <v>223</v>
      </c>
      <c r="AN3" s="76" t="s">
        <v>229</v>
      </c>
      <c r="AO3" s="77"/>
      <c r="AP3" s="81" t="str">
        <f>T3</f>
        <v>seamless</v>
      </c>
      <c r="AQ3" s="57"/>
    </row>
    <row r="4" spans="1:43" ht="13.15" customHeight="1" thickBot="1" x14ac:dyDescent="0.25">
      <c r="A4" s="56"/>
      <c r="B4" s="55"/>
      <c r="C4" s="55"/>
      <c r="D4" s="54"/>
      <c r="E4" s="53"/>
      <c r="F4" s="53"/>
      <c r="G4" s="53"/>
      <c r="H4" s="14"/>
      <c r="I4" s="14"/>
      <c r="J4" s="52"/>
      <c r="K4" s="60" t="s">
        <v>226</v>
      </c>
      <c r="L4" s="81"/>
      <c r="M4" s="102"/>
      <c r="N4" s="60"/>
      <c r="O4" s="60"/>
      <c r="P4" s="524">
        <v>204.7</v>
      </c>
      <c r="Q4" s="58" t="s">
        <v>235</v>
      </c>
      <c r="R4" s="82" t="s">
        <v>234</v>
      </c>
      <c r="S4" s="83"/>
      <c r="T4" s="113" t="s">
        <v>475</v>
      </c>
      <c r="U4" s="79"/>
      <c r="V4" s="119"/>
      <c r="W4" s="166"/>
      <c r="X4" s="55"/>
      <c r="Y4" s="55"/>
      <c r="Z4" s="54"/>
      <c r="AA4" s="53"/>
      <c r="AB4" s="53"/>
      <c r="AC4" s="53"/>
      <c r="AD4" s="14"/>
      <c r="AE4" s="14"/>
      <c r="AF4" s="344"/>
      <c r="AG4" s="60" t="s">
        <v>226</v>
      </c>
      <c r="AH4" s="102"/>
      <c r="AI4" s="60"/>
      <c r="AJ4" s="60"/>
      <c r="AK4" s="60"/>
      <c r="AL4" s="525">
        <f>P4</f>
        <v>204.7</v>
      </c>
      <c r="AM4" s="58" t="s">
        <v>235</v>
      </c>
      <c r="AN4" s="82" t="s">
        <v>234</v>
      </c>
      <c r="AO4" s="83"/>
      <c r="AP4" s="113" t="str">
        <f>T4</f>
        <v>EDJC</v>
      </c>
      <c r="AQ4" s="79"/>
    </row>
    <row r="5" spans="1:43" ht="13.15" customHeight="1" x14ac:dyDescent="0.2">
      <c r="A5" s="51" t="s">
        <v>225</v>
      </c>
      <c r="B5" s="80"/>
      <c r="C5" s="50" t="s">
        <v>224</v>
      </c>
      <c r="D5" s="49" t="s">
        <v>223</v>
      </c>
      <c r="E5" s="48"/>
      <c r="F5" s="47" t="s">
        <v>303</v>
      </c>
      <c r="G5" s="47">
        <v>100</v>
      </c>
      <c r="H5" s="47">
        <v>150</v>
      </c>
      <c r="I5" s="47">
        <v>200</v>
      </c>
      <c r="J5" s="47">
        <v>250</v>
      </c>
      <c r="K5" s="47">
        <v>300</v>
      </c>
      <c r="L5" s="104">
        <v>350</v>
      </c>
      <c r="M5" s="48">
        <v>400</v>
      </c>
      <c r="N5" s="104">
        <v>450</v>
      </c>
      <c r="O5" s="104">
        <v>460</v>
      </c>
      <c r="P5" s="197">
        <v>470</v>
      </c>
      <c r="Q5" s="203"/>
      <c r="R5" s="47"/>
      <c r="S5" s="196"/>
      <c r="T5" s="203"/>
      <c r="U5" s="220"/>
      <c r="V5" s="51" t="s">
        <v>225</v>
      </c>
      <c r="W5" s="80"/>
      <c r="X5" s="80"/>
      <c r="Y5" s="50" t="s">
        <v>224</v>
      </c>
      <c r="Z5" s="49" t="s">
        <v>223</v>
      </c>
      <c r="AA5" s="48"/>
      <c r="AB5" s="47" t="s">
        <v>303</v>
      </c>
      <c r="AC5" s="47">
        <v>100</v>
      </c>
      <c r="AD5" s="47">
        <v>150</v>
      </c>
      <c r="AE5" s="47">
        <v>200</v>
      </c>
      <c r="AF5" s="47">
        <v>250</v>
      </c>
      <c r="AG5" s="47">
        <v>300</v>
      </c>
      <c r="AH5" s="104">
        <v>350</v>
      </c>
      <c r="AI5" s="48">
        <v>400</v>
      </c>
      <c r="AJ5" s="104">
        <v>450</v>
      </c>
      <c r="AK5" s="104">
        <v>460</v>
      </c>
      <c r="AL5" s="197">
        <v>470</v>
      </c>
      <c r="AM5" s="203"/>
      <c r="AN5" s="47"/>
      <c r="AO5" s="196"/>
      <c r="AP5" s="203"/>
      <c r="AQ5" s="220"/>
    </row>
    <row r="6" spans="1:43" ht="20.25" customHeight="1" x14ac:dyDescent="0.2">
      <c r="A6" s="51"/>
      <c r="B6" s="80"/>
      <c r="C6" s="185" t="s">
        <v>285</v>
      </c>
      <c r="D6" s="186" t="s">
        <v>235</v>
      </c>
      <c r="E6" s="187" t="s">
        <v>502</v>
      </c>
      <c r="F6" s="218">
        <v>160</v>
      </c>
      <c r="G6" s="218">
        <v>160</v>
      </c>
      <c r="H6" s="218">
        <v>160</v>
      </c>
      <c r="I6" s="218">
        <v>160</v>
      </c>
      <c r="J6" s="381" t="s">
        <v>556</v>
      </c>
      <c r="K6" s="381" t="s">
        <v>557</v>
      </c>
      <c r="L6" s="382" t="s">
        <v>558</v>
      </c>
      <c r="M6" s="383" t="s">
        <v>559</v>
      </c>
      <c r="N6" s="385" t="s">
        <v>560</v>
      </c>
      <c r="O6" s="385" t="s">
        <v>561</v>
      </c>
      <c r="P6" s="386" t="s">
        <v>562</v>
      </c>
      <c r="Q6" s="852" t="s">
        <v>563</v>
      </c>
      <c r="R6" s="687"/>
      <c r="S6" s="243"/>
      <c r="T6" s="204"/>
      <c r="U6" s="225"/>
      <c r="V6" s="21"/>
      <c r="X6" s="80"/>
      <c r="Y6" s="185" t="s">
        <v>285</v>
      </c>
      <c r="Z6" s="186" t="s">
        <v>235</v>
      </c>
      <c r="AA6" s="187" t="s">
        <v>502</v>
      </c>
      <c r="AB6" s="218">
        <v>160</v>
      </c>
      <c r="AC6" s="218">
        <v>160</v>
      </c>
      <c r="AD6" s="218">
        <v>160</v>
      </c>
      <c r="AE6" s="218">
        <v>160</v>
      </c>
      <c r="AF6" s="381" t="s">
        <v>556</v>
      </c>
      <c r="AG6" s="381" t="s">
        <v>557</v>
      </c>
      <c r="AH6" s="382" t="s">
        <v>558</v>
      </c>
      <c r="AI6" s="383" t="s">
        <v>559</v>
      </c>
      <c r="AJ6" s="385" t="s">
        <v>560</v>
      </c>
      <c r="AK6" s="385" t="s">
        <v>561</v>
      </c>
      <c r="AL6" s="386" t="s">
        <v>562</v>
      </c>
      <c r="AM6" s="852" t="s">
        <v>563</v>
      </c>
      <c r="AN6" s="687"/>
      <c r="AO6" s="243"/>
      <c r="AP6" s="204"/>
      <c r="AQ6" s="225"/>
    </row>
    <row r="7" spans="1:43" ht="12.75" customHeight="1" thickBot="1" x14ac:dyDescent="0.25">
      <c r="A7" s="46"/>
      <c r="B7" s="120"/>
      <c r="C7" s="671" t="s">
        <v>284</v>
      </c>
      <c r="D7" s="672"/>
      <c r="E7" s="45"/>
      <c r="F7" s="212"/>
      <c r="G7" s="213"/>
      <c r="H7" s="213"/>
      <c r="I7" s="213"/>
      <c r="J7" s="213"/>
      <c r="K7" s="213"/>
      <c r="L7" s="213"/>
      <c r="M7" s="860" t="s">
        <v>286</v>
      </c>
      <c r="N7" s="674"/>
      <c r="O7" s="674"/>
      <c r="P7" s="837"/>
      <c r="Q7" s="245"/>
      <c r="R7" s="213"/>
      <c r="S7" s="213"/>
      <c r="T7" s="201"/>
      <c r="U7" s="106"/>
      <c r="V7" s="121"/>
      <c r="W7" s="143"/>
      <c r="X7" s="193"/>
      <c r="Y7" s="671" t="s">
        <v>284</v>
      </c>
      <c r="Z7" s="672"/>
      <c r="AA7" s="45"/>
      <c r="AB7" s="212"/>
      <c r="AC7" s="213"/>
      <c r="AD7" s="213"/>
      <c r="AE7" s="213"/>
      <c r="AF7" s="213"/>
      <c r="AG7" s="213"/>
      <c r="AH7" s="213"/>
      <c r="AI7" s="860" t="s">
        <v>286</v>
      </c>
      <c r="AJ7" s="674"/>
      <c r="AK7" s="674"/>
      <c r="AL7" s="837"/>
      <c r="AM7" s="245"/>
      <c r="AN7" s="213"/>
      <c r="AO7" s="213"/>
      <c r="AP7" s="201"/>
      <c r="AQ7" s="106"/>
    </row>
    <row r="8" spans="1:43" ht="13.15" customHeight="1" x14ac:dyDescent="0.2">
      <c r="A8" s="413" t="s">
        <v>633</v>
      </c>
      <c r="B8" s="158" t="s">
        <v>220</v>
      </c>
      <c r="C8" s="200">
        <v>15</v>
      </c>
      <c r="D8" s="38" t="s">
        <v>648</v>
      </c>
      <c r="E8" s="38">
        <v>25</v>
      </c>
      <c r="F8" s="38" t="s">
        <v>649</v>
      </c>
      <c r="G8" s="43">
        <v>40</v>
      </c>
      <c r="H8" s="43">
        <v>50</v>
      </c>
      <c r="I8" s="38" t="s">
        <v>299</v>
      </c>
      <c r="J8" s="43">
        <v>80</v>
      </c>
      <c r="K8" s="43">
        <v>100</v>
      </c>
      <c r="L8" s="43" t="s">
        <v>300</v>
      </c>
      <c r="M8" s="43">
        <v>150</v>
      </c>
      <c r="N8" s="43">
        <v>200</v>
      </c>
      <c r="O8" s="43">
        <v>250</v>
      </c>
      <c r="P8" s="43">
        <v>300</v>
      </c>
      <c r="Q8" s="43">
        <v>350</v>
      </c>
      <c r="R8" s="207">
        <v>400</v>
      </c>
      <c r="S8" s="208">
        <v>450</v>
      </c>
      <c r="T8" s="208">
        <v>500</v>
      </c>
      <c r="U8" s="209">
        <v>600</v>
      </c>
      <c r="V8" s="149"/>
      <c r="W8" s="167"/>
      <c r="X8" s="103"/>
      <c r="Y8" s="103"/>
      <c r="Z8" s="103"/>
      <c r="AA8" s="103"/>
      <c r="AB8" s="103"/>
      <c r="AC8" s="103"/>
      <c r="AD8" s="103"/>
      <c r="AE8" s="103"/>
      <c r="AF8" s="103"/>
      <c r="AG8" s="103"/>
      <c r="AH8" s="103"/>
      <c r="AI8" s="103"/>
      <c r="AJ8" s="103"/>
      <c r="AK8" s="103"/>
      <c r="AL8" s="103"/>
      <c r="AM8" s="103"/>
      <c r="AN8" s="103"/>
      <c r="AO8" s="103"/>
      <c r="AP8" s="103"/>
      <c r="AQ8" s="145"/>
    </row>
    <row r="9" spans="1:43" ht="13.15" customHeight="1" x14ac:dyDescent="0.2">
      <c r="A9" s="416" t="s">
        <v>634</v>
      </c>
      <c r="B9" s="293" t="s">
        <v>222</v>
      </c>
      <c r="C9" s="35">
        <v>21.3</v>
      </c>
      <c r="D9" s="42">
        <v>26.9</v>
      </c>
      <c r="E9" s="34">
        <v>33.700000000000003</v>
      </c>
      <c r="F9" s="34">
        <v>42.4</v>
      </c>
      <c r="G9" s="34">
        <v>48.3</v>
      </c>
      <c r="H9" s="34">
        <v>60.3</v>
      </c>
      <c r="I9" s="34">
        <v>76.099999999999994</v>
      </c>
      <c r="J9" s="34">
        <v>88.9</v>
      </c>
      <c r="K9" s="34">
        <v>114.3</v>
      </c>
      <c r="L9" s="34">
        <v>139.69999999999999</v>
      </c>
      <c r="M9" s="34">
        <v>168.3</v>
      </c>
      <c r="N9" s="34">
        <v>219.1</v>
      </c>
      <c r="O9" s="34">
        <v>273</v>
      </c>
      <c r="P9" s="34">
        <v>323.89999999999998</v>
      </c>
      <c r="Q9" s="34">
        <v>355.6</v>
      </c>
      <c r="R9" s="34">
        <v>406.4</v>
      </c>
      <c r="S9" s="34">
        <v>457</v>
      </c>
      <c r="T9" s="34">
        <v>508</v>
      </c>
      <c r="U9" s="41">
        <v>610</v>
      </c>
      <c r="V9" s="150"/>
      <c r="W9" s="168"/>
      <c r="AQ9" s="89"/>
    </row>
    <row r="10" spans="1:43" ht="13.15" customHeight="1" x14ac:dyDescent="0.2">
      <c r="A10" s="417" t="s">
        <v>635</v>
      </c>
      <c r="B10" s="294" t="s">
        <v>222</v>
      </c>
      <c r="C10" s="238">
        <v>2.6</v>
      </c>
      <c r="D10" s="33"/>
      <c r="E10" s="239">
        <v>2.6</v>
      </c>
      <c r="F10" s="239"/>
      <c r="G10" s="239">
        <v>3.6</v>
      </c>
      <c r="H10" s="239">
        <v>4</v>
      </c>
      <c r="I10" s="246"/>
      <c r="J10" s="239">
        <v>5.6</v>
      </c>
      <c r="K10" s="239">
        <v>6.3</v>
      </c>
      <c r="L10" s="239"/>
      <c r="M10" s="239">
        <v>10</v>
      </c>
      <c r="N10" s="239">
        <v>12.5</v>
      </c>
      <c r="O10" s="239">
        <v>16</v>
      </c>
      <c r="P10" s="239">
        <v>17.5</v>
      </c>
      <c r="Q10" s="239">
        <v>20</v>
      </c>
      <c r="R10" s="239">
        <v>22.2</v>
      </c>
      <c r="S10" s="839" t="s">
        <v>268</v>
      </c>
      <c r="T10" s="865"/>
      <c r="U10" s="866"/>
      <c r="V10" s="151"/>
      <c r="W10" s="169"/>
      <c r="AQ10" s="89"/>
    </row>
    <row r="11" spans="1:43" ht="13.15" customHeight="1" x14ac:dyDescent="0.2">
      <c r="A11" s="84" t="s">
        <v>636</v>
      </c>
      <c r="B11" s="295" t="s">
        <v>236</v>
      </c>
      <c r="C11" s="736" t="s">
        <v>302</v>
      </c>
      <c r="D11" s="737"/>
      <c r="E11" s="737"/>
      <c r="F11" s="737"/>
      <c r="G11" s="737"/>
      <c r="H11" s="737"/>
      <c r="I11" s="737"/>
      <c r="J11" s="737"/>
      <c r="K11" s="737"/>
      <c r="L11" s="737"/>
      <c r="M11" s="737"/>
      <c r="N11" s="737"/>
      <c r="O11" s="737"/>
      <c r="P11" s="737"/>
      <c r="Q11" s="737"/>
      <c r="R11" s="808"/>
      <c r="S11" s="846"/>
      <c r="T11" s="859"/>
      <c r="U11" s="867"/>
      <c r="V11" s="152"/>
      <c r="W11" s="161"/>
      <c r="AQ11" s="89"/>
    </row>
    <row r="12" spans="1:43" ht="13.15" customHeight="1" thickBot="1" x14ac:dyDescent="0.25">
      <c r="A12" s="419" t="s">
        <v>637</v>
      </c>
      <c r="B12" s="296" t="s">
        <v>222</v>
      </c>
      <c r="C12" s="40">
        <f>C9-2*C10</f>
        <v>16.100000000000001</v>
      </c>
      <c r="D12" s="32"/>
      <c r="E12" s="39">
        <f>E9-2*E10</f>
        <v>28.500000000000004</v>
      </c>
      <c r="F12" s="39"/>
      <c r="G12" s="39">
        <f t="shared" ref="G12:R12" si="0">G9-2*G10</f>
        <v>41.099999999999994</v>
      </c>
      <c r="H12" s="39">
        <f t="shared" si="0"/>
        <v>52.3</v>
      </c>
      <c r="I12" s="39"/>
      <c r="J12" s="39">
        <f t="shared" si="0"/>
        <v>77.7</v>
      </c>
      <c r="K12" s="39">
        <f t="shared" si="0"/>
        <v>101.7</v>
      </c>
      <c r="L12" s="39">
        <f t="shared" si="0"/>
        <v>139.69999999999999</v>
      </c>
      <c r="M12" s="39">
        <f t="shared" si="0"/>
        <v>148.30000000000001</v>
      </c>
      <c r="N12" s="39">
        <f t="shared" si="0"/>
        <v>194.1</v>
      </c>
      <c r="O12" s="39">
        <f t="shared" si="0"/>
        <v>241</v>
      </c>
      <c r="P12" s="39">
        <f t="shared" si="0"/>
        <v>288.89999999999998</v>
      </c>
      <c r="Q12" s="39">
        <f t="shared" si="0"/>
        <v>315.60000000000002</v>
      </c>
      <c r="R12" s="39">
        <f t="shared" si="0"/>
        <v>362</v>
      </c>
      <c r="S12" s="868"/>
      <c r="T12" s="869"/>
      <c r="U12" s="870"/>
      <c r="V12" s="153"/>
      <c r="W12" s="170"/>
      <c r="AQ12" s="89"/>
    </row>
    <row r="13" spans="1:43" ht="13.15" customHeight="1" x14ac:dyDescent="0.2">
      <c r="A13" s="413" t="s">
        <v>638</v>
      </c>
      <c r="B13" s="158" t="s">
        <v>220</v>
      </c>
      <c r="C13" s="200">
        <v>15</v>
      </c>
      <c r="D13" s="38" t="s">
        <v>648</v>
      </c>
      <c r="E13" s="38">
        <v>25</v>
      </c>
      <c r="F13" s="38" t="s">
        <v>649</v>
      </c>
      <c r="G13" s="43">
        <v>40</v>
      </c>
      <c r="H13" s="43">
        <v>50</v>
      </c>
      <c r="I13" s="38" t="s">
        <v>299</v>
      </c>
      <c r="J13" s="43">
        <v>80</v>
      </c>
      <c r="K13" s="43">
        <v>100</v>
      </c>
      <c r="L13" s="43" t="s">
        <v>300</v>
      </c>
      <c r="M13" s="43">
        <v>150</v>
      </c>
      <c r="N13" s="43">
        <v>200</v>
      </c>
      <c r="O13" s="43">
        <v>250</v>
      </c>
      <c r="P13" s="43">
        <v>300</v>
      </c>
      <c r="Q13" s="43">
        <v>350</v>
      </c>
      <c r="R13" s="207">
        <v>400</v>
      </c>
      <c r="S13" s="208">
        <v>450</v>
      </c>
      <c r="T13" s="208">
        <v>500</v>
      </c>
      <c r="U13" s="209">
        <v>600</v>
      </c>
      <c r="V13" s="154"/>
      <c r="W13" s="171"/>
      <c r="AQ13" s="89"/>
    </row>
    <row r="14" spans="1:43" ht="13.15" customHeight="1" x14ac:dyDescent="0.2">
      <c r="A14" s="416" t="s">
        <v>639</v>
      </c>
      <c r="B14" s="297" t="s">
        <v>222</v>
      </c>
      <c r="C14" s="35">
        <v>21.3</v>
      </c>
      <c r="D14" s="34">
        <v>26.9</v>
      </c>
      <c r="E14" s="34">
        <v>33.700000000000003</v>
      </c>
      <c r="F14" s="34">
        <v>42.4</v>
      </c>
      <c r="G14" s="34">
        <v>48.3</v>
      </c>
      <c r="H14" s="34">
        <v>60.3</v>
      </c>
      <c r="I14" s="34">
        <v>76.099999999999994</v>
      </c>
      <c r="J14" s="34">
        <v>88.9</v>
      </c>
      <c r="K14" s="34">
        <v>114.3</v>
      </c>
      <c r="L14" s="34">
        <v>139.69999999999999</v>
      </c>
      <c r="M14" s="34">
        <v>168.3</v>
      </c>
      <c r="N14" s="34">
        <v>219.1</v>
      </c>
      <c r="O14" s="34">
        <v>273</v>
      </c>
      <c r="P14" s="34">
        <v>323.89999999999998</v>
      </c>
      <c r="Q14" s="34">
        <v>355.6</v>
      </c>
      <c r="R14" s="34">
        <v>406.4</v>
      </c>
      <c r="S14" s="34">
        <v>457</v>
      </c>
      <c r="T14" s="34">
        <v>508</v>
      </c>
      <c r="U14" s="41">
        <v>610</v>
      </c>
      <c r="V14" s="150"/>
      <c r="W14" s="168"/>
      <c r="AQ14" s="89"/>
    </row>
    <row r="15" spans="1:43" ht="13.15" customHeight="1" x14ac:dyDescent="0.2">
      <c r="A15" s="417" t="s">
        <v>640</v>
      </c>
      <c r="B15" s="294" t="s">
        <v>222</v>
      </c>
      <c r="C15" s="238">
        <v>2.6</v>
      </c>
      <c r="D15" s="33"/>
      <c r="E15" s="239">
        <v>2.6</v>
      </c>
      <c r="F15" s="239"/>
      <c r="G15" s="239">
        <v>3.6</v>
      </c>
      <c r="H15" s="239">
        <v>4</v>
      </c>
      <c r="I15" s="239"/>
      <c r="J15" s="239">
        <v>5.6</v>
      </c>
      <c r="K15" s="239">
        <v>6.3</v>
      </c>
      <c r="L15" s="239"/>
      <c r="M15" s="239">
        <v>10.97</v>
      </c>
      <c r="N15" s="239">
        <v>12.5</v>
      </c>
      <c r="O15" s="239">
        <v>16</v>
      </c>
      <c r="P15" s="239">
        <v>17.5</v>
      </c>
      <c r="Q15" s="239">
        <v>20</v>
      </c>
      <c r="R15" s="239">
        <v>22.2</v>
      </c>
      <c r="S15" s="839" t="s">
        <v>268</v>
      </c>
      <c r="T15" s="840"/>
      <c r="U15" s="841"/>
      <c r="V15" s="151"/>
      <c r="W15" s="169"/>
      <c r="AQ15" s="89"/>
    </row>
    <row r="16" spans="1:43" ht="13.15" customHeight="1" thickBot="1" x14ac:dyDescent="0.25">
      <c r="A16" s="419" t="s">
        <v>641</v>
      </c>
      <c r="B16" s="296" t="s">
        <v>222</v>
      </c>
      <c r="C16" s="316">
        <v>3</v>
      </c>
      <c r="D16" s="32"/>
      <c r="E16" s="317" t="s">
        <v>543</v>
      </c>
      <c r="F16" s="317"/>
      <c r="G16" s="317">
        <v>3</v>
      </c>
      <c r="H16" s="317">
        <v>4</v>
      </c>
      <c r="I16" s="317"/>
      <c r="J16" s="317">
        <v>4</v>
      </c>
      <c r="K16" s="317">
        <v>4</v>
      </c>
      <c r="L16" s="317"/>
      <c r="M16" s="317">
        <v>5</v>
      </c>
      <c r="N16" s="317">
        <v>5</v>
      </c>
      <c r="O16" s="317">
        <v>6</v>
      </c>
      <c r="P16" s="317">
        <v>6</v>
      </c>
      <c r="Q16" s="317">
        <v>6</v>
      </c>
      <c r="R16" s="317">
        <v>6</v>
      </c>
      <c r="S16" s="843"/>
      <c r="T16" s="844"/>
      <c r="U16" s="845"/>
      <c r="V16" s="21"/>
      <c r="AO16"/>
      <c r="AQ16" s="89"/>
    </row>
    <row r="17" spans="1:43" ht="13.15" customHeight="1" x14ac:dyDescent="0.2">
      <c r="A17" s="31" t="s">
        <v>221</v>
      </c>
      <c r="B17" s="422"/>
      <c r="C17" s="631" t="s">
        <v>220</v>
      </c>
      <c r="D17" s="632"/>
      <c r="E17" s="633" t="s">
        <v>197</v>
      </c>
      <c r="F17" s="634"/>
      <c r="G17" s="634"/>
      <c r="H17" s="634"/>
      <c r="I17" s="634"/>
      <c r="J17" s="634"/>
      <c r="K17" s="635" t="s">
        <v>241</v>
      </c>
      <c r="L17" s="634"/>
      <c r="M17" s="634"/>
      <c r="N17" s="636"/>
      <c r="O17" s="656" t="s">
        <v>243</v>
      </c>
      <c r="P17" s="656" t="s">
        <v>242</v>
      </c>
      <c r="Q17" s="637" t="s">
        <v>244</v>
      </c>
      <c r="R17" s="638"/>
      <c r="S17" s="633" t="s">
        <v>245</v>
      </c>
      <c r="T17" s="639"/>
      <c r="U17" s="640"/>
      <c r="V17" s="21"/>
      <c r="AO17"/>
      <c r="AQ17" s="89"/>
    </row>
    <row r="18" spans="1:43" ht="13.15" customHeight="1" x14ac:dyDescent="0.2">
      <c r="A18" s="20"/>
      <c r="B18" s="424"/>
      <c r="C18" s="30" t="s">
        <v>219</v>
      </c>
      <c r="D18" s="30" t="s">
        <v>218</v>
      </c>
      <c r="E18" s="554"/>
      <c r="F18" s="555"/>
      <c r="G18" s="555"/>
      <c r="H18" s="555"/>
      <c r="I18" s="555"/>
      <c r="J18" s="555"/>
      <c r="K18" s="558"/>
      <c r="L18" s="555"/>
      <c r="M18" s="555"/>
      <c r="N18" s="556"/>
      <c r="O18" s="555"/>
      <c r="P18" s="555"/>
      <c r="Q18" s="555"/>
      <c r="R18" s="555"/>
      <c r="S18" s="641"/>
      <c r="T18" s="642"/>
      <c r="U18" s="643"/>
      <c r="V18" s="172"/>
      <c r="W18" s="168"/>
      <c r="X18" s="659" t="s">
        <v>288</v>
      </c>
      <c r="Y18" s="670"/>
      <c r="Z18" s="670"/>
      <c r="AA18" s="670"/>
      <c r="AB18" s="670"/>
      <c r="AC18" s="670"/>
      <c r="AD18" s="670"/>
      <c r="AE18" s="670"/>
      <c r="AF18" s="670"/>
      <c r="AG18" s="670"/>
      <c r="AH18" s="670"/>
      <c r="AI18" s="670"/>
      <c r="AJ18" s="670"/>
      <c r="AK18" s="670"/>
      <c r="AL18" s="670"/>
      <c r="AM18" s="670"/>
      <c r="AN18" s="670"/>
      <c r="AO18" s="660"/>
      <c r="AP18" s="660"/>
      <c r="AQ18" s="89"/>
    </row>
    <row r="19" spans="1:43" ht="13.15" customHeight="1" x14ac:dyDescent="0.2">
      <c r="A19" s="19" t="s">
        <v>217</v>
      </c>
      <c r="B19" s="60"/>
      <c r="C19" s="24">
        <v>15</v>
      </c>
      <c r="D19" s="24">
        <v>50</v>
      </c>
      <c r="E19" s="561" t="s">
        <v>497</v>
      </c>
      <c r="F19" s="562"/>
      <c r="G19" s="562"/>
      <c r="H19" s="562"/>
      <c r="I19" s="562"/>
      <c r="J19" s="563"/>
      <c r="K19" s="564" t="s">
        <v>537</v>
      </c>
      <c r="L19" s="855"/>
      <c r="M19" s="855"/>
      <c r="N19" s="856"/>
      <c r="O19" s="97" t="s">
        <v>236</v>
      </c>
      <c r="P19" s="97" t="s">
        <v>485</v>
      </c>
      <c r="Q19" s="651" t="s">
        <v>304</v>
      </c>
      <c r="R19" s="626"/>
      <c r="S19" s="93"/>
      <c r="U19" s="89"/>
      <c r="V19" s="657" t="s">
        <v>274</v>
      </c>
      <c r="W19" s="1">
        <v>15</v>
      </c>
      <c r="X19" s="139" t="s">
        <v>396</v>
      </c>
      <c r="Y19" s="137"/>
      <c r="Z19" s="137"/>
      <c r="AA19" s="137"/>
      <c r="AB19" s="137"/>
      <c r="AC19" s="137"/>
      <c r="AD19" s="137"/>
      <c r="AE19" s="137"/>
      <c r="AF19" s="137"/>
      <c r="AG19" s="137"/>
      <c r="AH19" s="137"/>
      <c r="AI19" s="137"/>
      <c r="AJ19" s="137"/>
      <c r="AK19" s="137"/>
      <c r="AL19" s="138"/>
      <c r="AM19" s="138"/>
      <c r="AQ19" s="89"/>
    </row>
    <row r="20" spans="1:43" ht="13.15" customHeight="1" x14ac:dyDescent="0.2">
      <c r="A20" s="19"/>
      <c r="B20" s="60"/>
      <c r="C20" s="24">
        <v>65</v>
      </c>
      <c r="D20" s="24">
        <v>600</v>
      </c>
      <c r="E20" s="583" t="s">
        <v>496</v>
      </c>
      <c r="F20" s="549"/>
      <c r="G20" s="549"/>
      <c r="H20" s="549"/>
      <c r="I20" s="549"/>
      <c r="J20" s="550"/>
      <c r="K20" s="584" t="s">
        <v>537</v>
      </c>
      <c r="L20" s="857"/>
      <c r="M20" s="857"/>
      <c r="N20" s="858"/>
      <c r="O20" s="98" t="s">
        <v>236</v>
      </c>
      <c r="P20" s="98" t="s">
        <v>484</v>
      </c>
      <c r="Q20" s="652" t="s">
        <v>304</v>
      </c>
      <c r="R20" s="586"/>
      <c r="S20" s="93"/>
      <c r="U20" s="89"/>
      <c r="V20" s="824"/>
      <c r="W20" s="227" t="s">
        <v>642</v>
      </c>
      <c r="X20" s="139"/>
      <c r="Y20" s="139"/>
      <c r="Z20" s="501"/>
      <c r="AA20" s="137"/>
      <c r="AB20" s="137"/>
      <c r="AC20" s="137"/>
      <c r="AD20" s="137"/>
      <c r="AE20" s="137"/>
      <c r="AF20" s="137"/>
      <c r="AG20" s="137"/>
      <c r="AH20" s="137"/>
      <c r="AI20" s="137"/>
      <c r="AJ20" s="137"/>
      <c r="AK20" s="137"/>
      <c r="AL20" s="137"/>
      <c r="AM20" s="138"/>
      <c r="AN20" s="138"/>
      <c r="AO20"/>
      <c r="AQ20" s="89"/>
    </row>
    <row r="21" spans="1:43" ht="13.15" customHeight="1" x14ac:dyDescent="0.2">
      <c r="A21" s="19"/>
      <c r="B21" s="60"/>
      <c r="C21" s="24"/>
      <c r="D21" s="24"/>
      <c r="E21" s="583"/>
      <c r="F21" s="549"/>
      <c r="G21" s="549"/>
      <c r="H21" s="549"/>
      <c r="I21" s="549"/>
      <c r="J21" s="550"/>
      <c r="K21" s="584"/>
      <c r="L21" s="549"/>
      <c r="M21" s="549"/>
      <c r="N21" s="550"/>
      <c r="O21" s="98"/>
      <c r="P21" s="98"/>
      <c r="Q21" s="652"/>
      <c r="R21" s="586"/>
      <c r="S21" s="88"/>
      <c r="U21" s="89"/>
      <c r="V21" s="824"/>
      <c r="W21" s="118">
        <v>25</v>
      </c>
      <c r="X21" s="139" t="s">
        <v>396</v>
      </c>
      <c r="Y21" s="139"/>
      <c r="Z21" s="139" t="s">
        <v>407</v>
      </c>
      <c r="AA21" s="137"/>
      <c r="AB21" s="137"/>
      <c r="AC21" s="137"/>
      <c r="AD21" s="137"/>
      <c r="AE21" s="137"/>
      <c r="AF21" s="137"/>
      <c r="AG21" s="137"/>
      <c r="AH21" s="137"/>
      <c r="AI21" s="137"/>
      <c r="AJ21" s="137"/>
      <c r="AK21" s="137"/>
      <c r="AL21" s="137"/>
      <c r="AM21" s="138"/>
      <c r="AN21" s="138"/>
      <c r="AO21"/>
      <c r="AQ21" s="89"/>
    </row>
    <row r="22" spans="1:43" ht="13.15" customHeight="1" x14ac:dyDescent="0.2">
      <c r="A22" s="19"/>
      <c r="B22" s="60"/>
      <c r="C22" s="24"/>
      <c r="D22" s="24"/>
      <c r="E22" s="583"/>
      <c r="F22" s="549"/>
      <c r="G22" s="549"/>
      <c r="H22" s="549"/>
      <c r="I22" s="549"/>
      <c r="J22" s="550"/>
      <c r="K22" s="584"/>
      <c r="L22" s="549"/>
      <c r="M22" s="549"/>
      <c r="N22" s="550"/>
      <c r="O22" s="98"/>
      <c r="P22" s="98"/>
      <c r="Q22" s="652"/>
      <c r="R22" s="586"/>
      <c r="S22" s="88"/>
      <c r="U22" s="89"/>
      <c r="V22" s="824"/>
      <c r="W22" s="227" t="s">
        <v>643</v>
      </c>
      <c r="X22" s="139"/>
      <c r="Y22" s="139"/>
      <c r="Z22" s="139"/>
      <c r="AA22" s="139"/>
      <c r="AB22" s="501"/>
      <c r="AC22" s="137"/>
      <c r="AD22" s="137"/>
      <c r="AE22" s="137"/>
      <c r="AF22" s="137"/>
      <c r="AG22" s="137"/>
      <c r="AH22" s="137"/>
      <c r="AI22" s="137"/>
      <c r="AJ22" s="137"/>
      <c r="AK22" s="137"/>
      <c r="AL22" s="137"/>
      <c r="AM22" s="137"/>
      <c r="AN22" s="138"/>
      <c r="AO22" s="138"/>
      <c r="AP22"/>
      <c r="AQ22" s="89"/>
    </row>
    <row r="23" spans="1:43" ht="13.15" customHeight="1" x14ac:dyDescent="0.2">
      <c r="A23" s="19"/>
      <c r="B23" s="60"/>
      <c r="C23" s="24"/>
      <c r="D23" s="24"/>
      <c r="E23" s="155"/>
      <c r="F23" s="160"/>
      <c r="G23" s="160"/>
      <c r="H23" s="160"/>
      <c r="I23" s="160"/>
      <c r="J23" s="181"/>
      <c r="K23" s="182"/>
      <c r="L23" s="160"/>
      <c r="M23" s="160"/>
      <c r="N23" s="181"/>
      <c r="O23" s="98"/>
      <c r="P23" s="98"/>
      <c r="Q23" s="183"/>
      <c r="R23" s="161"/>
      <c r="S23" s="88"/>
      <c r="U23" s="89"/>
      <c r="V23" s="824"/>
      <c r="W23" s="118">
        <v>40</v>
      </c>
      <c r="X23" s="139" t="s">
        <v>396</v>
      </c>
      <c r="Y23" s="139"/>
      <c r="Z23" s="139" t="s">
        <v>396</v>
      </c>
      <c r="AA23" s="139"/>
      <c r="AB23" s="139" t="s">
        <v>396</v>
      </c>
      <c r="AC23" s="137"/>
      <c r="AD23" s="137"/>
      <c r="AE23" s="137"/>
      <c r="AF23" s="137"/>
      <c r="AG23" s="137"/>
      <c r="AH23" s="137"/>
      <c r="AI23" s="137"/>
      <c r="AJ23" s="137"/>
      <c r="AK23" s="137"/>
      <c r="AL23" s="137"/>
      <c r="AM23" s="137"/>
      <c r="AN23" s="138"/>
      <c r="AO23" s="138"/>
      <c r="AP23"/>
      <c r="AQ23" s="89"/>
    </row>
    <row r="24" spans="1:43" ht="13.15" customHeight="1" x14ac:dyDescent="0.2">
      <c r="A24" s="26" t="s">
        <v>298</v>
      </c>
      <c r="B24" s="435"/>
      <c r="C24" s="29" t="s">
        <v>302</v>
      </c>
      <c r="D24" s="25" t="s">
        <v>302</v>
      </c>
      <c r="E24" s="653" t="s">
        <v>495</v>
      </c>
      <c r="F24" s="654"/>
      <c r="G24" s="654"/>
      <c r="H24" s="654"/>
      <c r="I24" s="654"/>
      <c r="J24" s="655"/>
      <c r="K24" s="699" t="s">
        <v>537</v>
      </c>
      <c r="L24" s="654"/>
      <c r="M24" s="654"/>
      <c r="N24" s="655"/>
      <c r="O24" s="249" t="s">
        <v>236</v>
      </c>
      <c r="P24" s="249" t="s">
        <v>485</v>
      </c>
      <c r="Q24" s="697" t="s">
        <v>304</v>
      </c>
      <c r="R24" s="701"/>
      <c r="S24" s="109"/>
      <c r="T24" s="91"/>
      <c r="U24" s="92"/>
      <c r="V24" s="824"/>
      <c r="W24" s="1">
        <v>50</v>
      </c>
      <c r="X24" s="139" t="s">
        <v>410</v>
      </c>
      <c r="Y24" s="139"/>
      <c r="Z24" s="139" t="s">
        <v>397</v>
      </c>
      <c r="AA24" s="139"/>
      <c r="AB24" s="139" t="s">
        <v>397</v>
      </c>
      <c r="AC24" s="139" t="s">
        <v>397</v>
      </c>
      <c r="AD24" s="137"/>
      <c r="AE24" s="137"/>
      <c r="AF24" s="137"/>
      <c r="AG24" s="137"/>
      <c r="AH24" s="137"/>
      <c r="AI24" s="137"/>
      <c r="AJ24" s="137"/>
      <c r="AK24" s="137"/>
      <c r="AL24" s="137"/>
      <c r="AM24" s="137"/>
      <c r="AN24" s="138"/>
      <c r="AO24" s="138"/>
      <c r="AP24"/>
      <c r="AQ24" s="89"/>
    </row>
    <row r="25" spans="1:43" ht="13.15" customHeight="1" x14ac:dyDescent="0.2">
      <c r="A25" s="19" t="s">
        <v>297</v>
      </c>
      <c r="B25" s="60"/>
      <c r="C25" s="235">
        <v>15</v>
      </c>
      <c r="D25" s="242">
        <v>15</v>
      </c>
      <c r="E25" s="644" t="s">
        <v>503</v>
      </c>
      <c r="F25" s="645"/>
      <c r="G25" s="645"/>
      <c r="H25" s="645"/>
      <c r="I25" s="645"/>
      <c r="J25" s="646"/>
      <c r="K25" s="700" t="s">
        <v>677</v>
      </c>
      <c r="L25" s="645"/>
      <c r="M25" s="645"/>
      <c r="N25" s="646"/>
      <c r="O25" s="98" t="s">
        <v>236</v>
      </c>
      <c r="P25" s="98" t="s">
        <v>246</v>
      </c>
      <c r="Q25" s="647" t="s">
        <v>306</v>
      </c>
      <c r="R25" s="723"/>
      <c r="S25" s="93"/>
      <c r="U25" s="89"/>
      <c r="V25" s="824"/>
      <c r="W25" s="227" t="s">
        <v>295</v>
      </c>
      <c r="X25" s="139"/>
      <c r="Y25" s="139"/>
      <c r="Z25" s="139"/>
      <c r="AA25" s="139"/>
      <c r="AB25" s="139"/>
      <c r="AC25" s="139"/>
      <c r="AD25" s="139"/>
      <c r="AE25" s="147"/>
      <c r="AF25" s="137"/>
      <c r="AG25" s="137"/>
      <c r="AH25" s="137"/>
      <c r="AI25" s="137"/>
      <c r="AJ25" s="137"/>
      <c r="AK25" s="137"/>
      <c r="AL25" s="137"/>
      <c r="AM25" s="137"/>
      <c r="AN25" s="137"/>
      <c r="AO25" s="138"/>
      <c r="AP25" s="138"/>
      <c r="AQ25" s="89"/>
    </row>
    <row r="26" spans="1:43" ht="13.15" customHeight="1" x14ac:dyDescent="0.2">
      <c r="A26" s="19"/>
      <c r="B26" s="60"/>
      <c r="C26" s="24">
        <v>25</v>
      </c>
      <c r="D26" s="23">
        <v>600</v>
      </c>
      <c r="E26" s="583" t="s">
        <v>503</v>
      </c>
      <c r="F26" s="549"/>
      <c r="G26" s="549"/>
      <c r="H26" s="549"/>
      <c r="I26" s="549"/>
      <c r="J26" s="550"/>
      <c r="K26" s="584" t="s">
        <v>677</v>
      </c>
      <c r="L26" s="549"/>
      <c r="M26" s="549"/>
      <c r="N26" s="550"/>
      <c r="O26" s="98" t="s">
        <v>236</v>
      </c>
      <c r="P26" s="98" t="s">
        <v>246</v>
      </c>
      <c r="Q26" s="585" t="s">
        <v>307</v>
      </c>
      <c r="R26" s="615"/>
      <c r="S26" s="93"/>
      <c r="U26" s="89"/>
      <c r="V26" s="824"/>
      <c r="W26" s="1">
        <v>80</v>
      </c>
      <c r="X26" s="139" t="s">
        <v>389</v>
      </c>
      <c r="Y26" s="139"/>
      <c r="Z26" s="139" t="s">
        <v>394</v>
      </c>
      <c r="AA26" s="139"/>
      <c r="AB26" s="139" t="s">
        <v>397</v>
      </c>
      <c r="AC26" s="139" t="s">
        <v>397</v>
      </c>
      <c r="AD26" s="139"/>
      <c r="AE26" s="139" t="s">
        <v>397</v>
      </c>
      <c r="AF26" s="137"/>
      <c r="AG26" s="137"/>
      <c r="AH26" s="137"/>
      <c r="AI26" s="137"/>
      <c r="AJ26" s="137"/>
      <c r="AK26" s="137"/>
      <c r="AL26" s="137"/>
      <c r="AM26" s="137"/>
      <c r="AN26" s="137"/>
      <c r="AO26" s="138"/>
      <c r="AP26" s="138"/>
      <c r="AQ26" s="89"/>
    </row>
    <row r="27" spans="1:43" ht="13.15" customHeight="1" x14ac:dyDescent="0.2">
      <c r="A27" s="19"/>
      <c r="B27" s="60"/>
      <c r="C27" s="24">
        <v>250</v>
      </c>
      <c r="D27" s="23">
        <v>600</v>
      </c>
      <c r="E27" s="583" t="s">
        <v>505</v>
      </c>
      <c r="F27" s="549"/>
      <c r="G27" s="549"/>
      <c r="H27" s="549"/>
      <c r="I27" s="549"/>
      <c r="J27" s="550"/>
      <c r="K27" s="584" t="s">
        <v>677</v>
      </c>
      <c r="L27" s="549"/>
      <c r="M27" s="549"/>
      <c r="N27" s="550"/>
      <c r="O27" s="98" t="s">
        <v>236</v>
      </c>
      <c r="P27" s="98" t="s">
        <v>246</v>
      </c>
      <c r="Q27" s="585" t="s">
        <v>307</v>
      </c>
      <c r="R27" s="615"/>
      <c r="S27" s="93" t="s">
        <v>362</v>
      </c>
      <c r="U27" s="89"/>
      <c r="V27" s="824"/>
      <c r="W27" s="1">
        <v>100</v>
      </c>
      <c r="X27" s="139" t="s">
        <v>389</v>
      </c>
      <c r="Y27" s="139"/>
      <c r="Z27" s="139" t="s">
        <v>402</v>
      </c>
      <c r="AA27" s="139"/>
      <c r="AB27" s="139" t="s">
        <v>397</v>
      </c>
      <c r="AC27" s="139" t="s">
        <v>397</v>
      </c>
      <c r="AD27" s="139"/>
      <c r="AE27" s="139" t="s">
        <v>397</v>
      </c>
      <c r="AF27" s="139" t="s">
        <v>397</v>
      </c>
      <c r="AG27" s="137"/>
      <c r="AH27" s="137"/>
      <c r="AI27" s="137"/>
      <c r="AJ27" s="137"/>
      <c r="AK27" s="137"/>
      <c r="AL27" s="137"/>
      <c r="AM27" s="137"/>
      <c r="AN27" s="137"/>
      <c r="AO27" s="138"/>
      <c r="AP27" s="138"/>
      <c r="AQ27" s="89"/>
    </row>
    <row r="28" spans="1:43" ht="13.15" customHeight="1" x14ac:dyDescent="0.2">
      <c r="A28" s="20"/>
      <c r="B28" s="424"/>
      <c r="C28" s="28"/>
      <c r="D28" s="27"/>
      <c r="E28" s="320"/>
      <c r="F28" s="124"/>
      <c r="G28" s="124"/>
      <c r="H28" s="124"/>
      <c r="I28" s="124"/>
      <c r="J28" s="354"/>
      <c r="K28" s="321"/>
      <c r="L28" s="124"/>
      <c r="M28" s="124"/>
      <c r="N28" s="354"/>
      <c r="O28" s="110"/>
      <c r="P28" s="110"/>
      <c r="Q28" s="80"/>
      <c r="R28" s="80"/>
      <c r="S28" s="94"/>
      <c r="T28" s="95"/>
      <c r="U28" s="96"/>
      <c r="V28" s="824"/>
      <c r="W28" s="227" t="s">
        <v>296</v>
      </c>
      <c r="X28" s="139"/>
      <c r="Y28" s="139"/>
      <c r="Z28" s="139"/>
      <c r="AA28" s="136"/>
      <c r="AB28" s="136"/>
      <c r="AC28" s="139"/>
      <c r="AD28" s="139"/>
      <c r="AE28" s="139"/>
      <c r="AF28" s="139"/>
      <c r="AG28" s="139"/>
      <c r="AH28" s="137"/>
      <c r="AI28" s="137"/>
      <c r="AJ28" s="137"/>
      <c r="AK28" s="137"/>
      <c r="AL28" s="137"/>
      <c r="AM28" s="137"/>
      <c r="AN28" s="137"/>
      <c r="AO28" s="138"/>
      <c r="AP28" s="138"/>
      <c r="AQ28" s="89"/>
    </row>
    <row r="29" spans="1:43" ht="13.15" customHeight="1" thickBot="1" x14ac:dyDescent="0.25">
      <c r="A29" s="19" t="s">
        <v>249</v>
      </c>
      <c r="B29" s="60"/>
      <c r="C29" s="24">
        <v>15</v>
      </c>
      <c r="D29" s="24">
        <v>600</v>
      </c>
      <c r="E29" s="561" t="s">
        <v>271</v>
      </c>
      <c r="F29" s="562"/>
      <c r="G29" s="562"/>
      <c r="H29" s="562"/>
      <c r="I29" s="562"/>
      <c r="J29" s="563"/>
      <c r="K29" s="564" t="s">
        <v>677</v>
      </c>
      <c r="L29" s="562"/>
      <c r="M29" s="562"/>
      <c r="N29" s="563"/>
      <c r="O29" s="97"/>
      <c r="P29" s="97" t="s">
        <v>246</v>
      </c>
      <c r="Q29" s="565" t="s">
        <v>307</v>
      </c>
      <c r="R29" s="566"/>
      <c r="S29" s="875" t="s">
        <v>548</v>
      </c>
      <c r="T29" s="91"/>
      <c r="U29" s="92"/>
      <c r="V29" s="824"/>
      <c r="W29" s="1">
        <v>150</v>
      </c>
      <c r="X29" s="141" t="s">
        <v>389</v>
      </c>
      <c r="Y29" s="141"/>
      <c r="Z29" s="141" t="s">
        <v>402</v>
      </c>
      <c r="AA29" s="140"/>
      <c r="AB29" s="140" t="s">
        <v>427</v>
      </c>
      <c r="AC29" s="141" t="s">
        <v>463</v>
      </c>
      <c r="AD29" s="141"/>
      <c r="AE29" s="141" t="s">
        <v>398</v>
      </c>
      <c r="AF29" s="141" t="s">
        <v>398</v>
      </c>
      <c r="AG29" s="141"/>
      <c r="AH29" s="141" t="s">
        <v>398</v>
      </c>
      <c r="AI29" s="137"/>
      <c r="AJ29" s="137"/>
      <c r="AK29" s="137"/>
      <c r="AL29" s="502" t="s">
        <v>712</v>
      </c>
      <c r="AM29" s="137"/>
      <c r="AN29" s="137"/>
      <c r="AO29" s="138"/>
      <c r="AP29" s="138"/>
      <c r="AQ29" s="89"/>
    </row>
    <row r="30" spans="1:43" ht="13.15" customHeight="1" x14ac:dyDescent="0.2">
      <c r="A30" s="19" t="s">
        <v>250</v>
      </c>
      <c r="B30" s="60"/>
      <c r="C30" s="210" t="s">
        <v>236</v>
      </c>
      <c r="D30" s="210" t="s">
        <v>236</v>
      </c>
      <c r="E30" s="583" t="s">
        <v>325</v>
      </c>
      <c r="F30" s="549"/>
      <c r="G30" s="549"/>
      <c r="H30" s="549"/>
      <c r="I30" s="549"/>
      <c r="J30" s="550"/>
      <c r="K30" s="584" t="s">
        <v>537</v>
      </c>
      <c r="L30" s="549"/>
      <c r="M30" s="549"/>
      <c r="N30" s="550"/>
      <c r="O30" s="98" t="s">
        <v>236</v>
      </c>
      <c r="P30" s="98" t="s">
        <v>246</v>
      </c>
      <c r="Q30" s="585" t="s">
        <v>347</v>
      </c>
      <c r="R30" s="615"/>
      <c r="S30" s="873"/>
      <c r="U30" s="89"/>
      <c r="V30" s="824"/>
      <c r="W30" s="1">
        <v>200</v>
      </c>
      <c r="X30" s="494" t="s">
        <v>389</v>
      </c>
      <c r="Y30" s="494"/>
      <c r="Z30" s="494" t="s">
        <v>402</v>
      </c>
      <c r="AA30" s="495"/>
      <c r="AB30" s="494" t="s">
        <v>404</v>
      </c>
      <c r="AC30" s="495" t="s">
        <v>405</v>
      </c>
      <c r="AD30" s="495"/>
      <c r="AE30" s="503" t="s">
        <v>398</v>
      </c>
      <c r="AF30" s="494" t="s">
        <v>398</v>
      </c>
      <c r="AG30" s="494"/>
      <c r="AH30" s="494" t="s">
        <v>398</v>
      </c>
      <c r="AI30" s="494" t="s">
        <v>398</v>
      </c>
      <c r="AJ30" s="504"/>
      <c r="AK30" s="496"/>
      <c r="AL30" s="505" t="s">
        <v>711</v>
      </c>
      <c r="AM30" s="496"/>
      <c r="AN30" s="137"/>
      <c r="AO30" s="138"/>
      <c r="AP30" s="138"/>
      <c r="AQ30" s="89"/>
    </row>
    <row r="31" spans="1:43" ht="13.15" customHeight="1" x14ac:dyDescent="0.2">
      <c r="A31" s="19"/>
      <c r="B31" s="60"/>
      <c r="C31" s="210"/>
      <c r="D31" s="210"/>
      <c r="E31" s="155"/>
      <c r="F31" s="160"/>
      <c r="G31" s="160"/>
      <c r="H31" s="160"/>
      <c r="I31" s="160"/>
      <c r="J31" s="181"/>
      <c r="K31" s="182"/>
      <c r="L31" s="160"/>
      <c r="M31" s="160"/>
      <c r="N31" s="181"/>
      <c r="O31" s="98"/>
      <c r="P31" s="98"/>
      <c r="Q31" s="347"/>
      <c r="R31" s="348"/>
      <c r="S31" s="873"/>
      <c r="U31" s="89"/>
      <c r="V31" s="824"/>
      <c r="W31" s="1">
        <v>250</v>
      </c>
      <c r="X31" s="139" t="s">
        <v>389</v>
      </c>
      <c r="Y31" s="139"/>
      <c r="Z31" s="139" t="s">
        <v>402</v>
      </c>
      <c r="AA31" s="136"/>
      <c r="AB31" s="139" t="s">
        <v>404</v>
      </c>
      <c r="AC31" s="139" t="s">
        <v>428</v>
      </c>
      <c r="AD31" s="136"/>
      <c r="AE31" s="142" t="s">
        <v>682</v>
      </c>
      <c r="AF31" s="139" t="s">
        <v>399</v>
      </c>
      <c r="AG31" s="139"/>
      <c r="AH31" s="139" t="s">
        <v>399</v>
      </c>
      <c r="AI31" s="139" t="s">
        <v>399</v>
      </c>
      <c r="AJ31" s="139" t="s">
        <v>399</v>
      </c>
      <c r="AK31" s="137"/>
      <c r="AL31" s="137"/>
      <c r="AM31" s="137"/>
      <c r="AN31" s="137"/>
      <c r="AO31" s="138"/>
      <c r="AP31" s="138"/>
      <c r="AQ31" s="89"/>
    </row>
    <row r="32" spans="1:43" ht="13.15" customHeight="1" x14ac:dyDescent="0.2">
      <c r="A32" s="19"/>
      <c r="B32" s="60"/>
      <c r="C32" s="210"/>
      <c r="D32" s="210"/>
      <c r="E32" s="155"/>
      <c r="F32" s="160"/>
      <c r="G32" s="160"/>
      <c r="H32" s="160"/>
      <c r="I32" s="160"/>
      <c r="J32" s="181"/>
      <c r="K32" s="182"/>
      <c r="L32" s="160"/>
      <c r="M32" s="160"/>
      <c r="N32" s="181"/>
      <c r="O32" s="98"/>
      <c r="P32" s="98"/>
      <c r="Q32" s="347"/>
      <c r="R32" s="348"/>
      <c r="S32" s="873"/>
      <c r="U32" s="89"/>
      <c r="V32" s="824"/>
      <c r="W32" s="1">
        <v>300</v>
      </c>
      <c r="X32" s="139" t="s">
        <v>421</v>
      </c>
      <c r="Y32" s="139"/>
      <c r="Z32" s="139" t="s">
        <v>403</v>
      </c>
      <c r="AA32" s="136"/>
      <c r="AB32" s="136" t="s">
        <v>405</v>
      </c>
      <c r="AC32" s="139" t="s">
        <v>419</v>
      </c>
      <c r="AD32" s="136"/>
      <c r="AE32" s="142" t="s">
        <v>519</v>
      </c>
      <c r="AF32" s="142" t="s">
        <v>519</v>
      </c>
      <c r="AG32" s="139"/>
      <c r="AH32" s="139" t="s">
        <v>399</v>
      </c>
      <c r="AI32" s="139" t="s">
        <v>399</v>
      </c>
      <c r="AJ32" s="139" t="s">
        <v>399</v>
      </c>
      <c r="AK32" s="139" t="s">
        <v>399</v>
      </c>
      <c r="AL32" s="137"/>
      <c r="AM32" s="137"/>
      <c r="AN32" s="137"/>
      <c r="AO32" s="138"/>
      <c r="AP32" s="138"/>
      <c r="AQ32" s="89"/>
    </row>
    <row r="33" spans="1:43" ht="13.15" customHeight="1" x14ac:dyDescent="0.2">
      <c r="A33" s="19" t="s">
        <v>256</v>
      </c>
      <c r="B33" s="60"/>
      <c r="C33" s="24">
        <v>100</v>
      </c>
      <c r="D33" s="24">
        <v>250</v>
      </c>
      <c r="E33" s="583" t="s">
        <v>528</v>
      </c>
      <c r="F33" s="549"/>
      <c r="G33" s="549"/>
      <c r="H33" s="549"/>
      <c r="I33" s="549"/>
      <c r="J33" s="550"/>
      <c r="K33" s="584" t="s">
        <v>351</v>
      </c>
      <c r="L33" s="549"/>
      <c r="M33" s="549"/>
      <c r="N33" s="550"/>
      <c r="O33" s="98" t="s">
        <v>236</v>
      </c>
      <c r="P33" s="98" t="s">
        <v>328</v>
      </c>
      <c r="Q33" s="585" t="s">
        <v>332</v>
      </c>
      <c r="R33" s="615"/>
      <c r="S33" s="873"/>
      <c r="U33" s="89"/>
      <c r="V33" s="824"/>
      <c r="W33" s="1">
        <v>350</v>
      </c>
      <c r="X33" s="139" t="s">
        <v>421</v>
      </c>
      <c r="Y33" s="139"/>
      <c r="Z33" s="139" t="s">
        <v>403</v>
      </c>
      <c r="AA33" s="136"/>
      <c r="AB33" s="136" t="s">
        <v>405</v>
      </c>
      <c r="AC33" s="139" t="s">
        <v>419</v>
      </c>
      <c r="AD33" s="136"/>
      <c r="AE33" s="142" t="s">
        <v>521</v>
      </c>
      <c r="AF33" s="142" t="s">
        <v>521</v>
      </c>
      <c r="AG33" s="139"/>
      <c r="AH33" s="139" t="s">
        <v>399</v>
      </c>
      <c r="AI33" s="139" t="s">
        <v>399</v>
      </c>
      <c r="AJ33" s="139" t="s">
        <v>399</v>
      </c>
      <c r="AK33" s="139" t="s">
        <v>399</v>
      </c>
      <c r="AL33" s="139" t="s">
        <v>399</v>
      </c>
      <c r="AM33" s="137"/>
      <c r="AN33" s="137"/>
      <c r="AO33" s="138"/>
      <c r="AP33" s="138"/>
      <c r="AQ33" s="89"/>
    </row>
    <row r="34" spans="1:43" ht="13.15" customHeight="1" x14ac:dyDescent="0.2">
      <c r="A34" s="19"/>
      <c r="B34" s="60"/>
      <c r="C34" s="24">
        <v>300</v>
      </c>
      <c r="D34" s="24">
        <v>600</v>
      </c>
      <c r="E34" s="583" t="s">
        <v>527</v>
      </c>
      <c r="F34" s="549"/>
      <c r="G34" s="549"/>
      <c r="H34" s="549"/>
      <c r="I34" s="549"/>
      <c r="J34" s="550"/>
      <c r="K34" s="584" t="s">
        <v>351</v>
      </c>
      <c r="L34" s="549"/>
      <c r="M34" s="549"/>
      <c r="N34" s="550"/>
      <c r="O34" s="165" t="s">
        <v>236</v>
      </c>
      <c r="P34" s="98" t="s">
        <v>328</v>
      </c>
      <c r="Q34" s="585" t="s">
        <v>332</v>
      </c>
      <c r="R34" s="615"/>
      <c r="S34" s="873"/>
      <c r="U34" s="89"/>
      <c r="V34" s="824"/>
      <c r="W34" s="1">
        <v>400</v>
      </c>
      <c r="X34" s="139" t="s">
        <v>421</v>
      </c>
      <c r="Y34" s="139"/>
      <c r="Z34" s="139" t="s">
        <v>403</v>
      </c>
      <c r="AA34" s="136"/>
      <c r="AB34" s="139" t="s">
        <v>405</v>
      </c>
      <c r="AC34" s="139" t="s">
        <v>429</v>
      </c>
      <c r="AD34" s="136"/>
      <c r="AE34" s="142" t="s">
        <v>523</v>
      </c>
      <c r="AF34" s="142" t="s">
        <v>523</v>
      </c>
      <c r="AG34" s="141"/>
      <c r="AH34" s="139" t="s">
        <v>399</v>
      </c>
      <c r="AI34" s="139" t="s">
        <v>399</v>
      </c>
      <c r="AJ34" s="139" t="s">
        <v>399</v>
      </c>
      <c r="AK34" s="139" t="s">
        <v>399</v>
      </c>
      <c r="AL34" s="139" t="s">
        <v>399</v>
      </c>
      <c r="AM34" s="139" t="s">
        <v>399</v>
      </c>
      <c r="AN34" s="137"/>
      <c r="AO34" s="138"/>
      <c r="AP34" s="138"/>
      <c r="AQ34" s="89"/>
    </row>
    <row r="35" spans="1:43" ht="13.15" customHeight="1" x14ac:dyDescent="0.2">
      <c r="A35" s="19"/>
      <c r="B35" s="60"/>
      <c r="C35" s="24"/>
      <c r="D35" s="24"/>
      <c r="E35" s="583" t="s">
        <v>326</v>
      </c>
      <c r="F35" s="549"/>
      <c r="G35" s="549"/>
      <c r="H35" s="549"/>
      <c r="I35" s="549"/>
      <c r="J35" s="550"/>
      <c r="K35" s="584">
        <v>1.5415000000000001</v>
      </c>
      <c r="L35" s="549"/>
      <c r="M35" s="549"/>
      <c r="N35" s="550"/>
      <c r="O35" s="165" t="s">
        <v>236</v>
      </c>
      <c r="P35" s="98" t="s">
        <v>257</v>
      </c>
      <c r="Q35" s="585" t="s">
        <v>721</v>
      </c>
      <c r="R35" s="615"/>
      <c r="S35" s="873"/>
      <c r="U35" s="89"/>
      <c r="V35" s="824"/>
      <c r="W35" s="1">
        <v>450</v>
      </c>
      <c r="X35" s="139"/>
      <c r="Y35" s="139"/>
      <c r="Z35" s="139"/>
      <c r="AA35" s="136"/>
      <c r="AB35" s="136"/>
      <c r="AC35" s="136"/>
      <c r="AD35" s="136"/>
      <c r="AE35" s="136"/>
      <c r="AF35" s="141"/>
      <c r="AG35" s="141"/>
      <c r="AH35" s="265"/>
      <c r="AI35" s="139"/>
      <c r="AJ35" s="139"/>
      <c r="AK35" s="139"/>
      <c r="AL35" s="139"/>
      <c r="AM35" s="139"/>
      <c r="AN35" s="139"/>
      <c r="AO35" s="138"/>
      <c r="AP35" s="138"/>
      <c r="AQ35" s="89"/>
    </row>
    <row r="36" spans="1:43" ht="13.15" customHeight="1" x14ac:dyDescent="0.2">
      <c r="A36" s="19"/>
      <c r="B36" s="60"/>
      <c r="C36" s="24"/>
      <c r="D36" s="24"/>
      <c r="E36" s="583" t="s">
        <v>327</v>
      </c>
      <c r="F36" s="549"/>
      <c r="G36" s="549"/>
      <c r="H36" s="549"/>
      <c r="I36" s="549"/>
      <c r="J36" s="550"/>
      <c r="K36" s="584" t="s">
        <v>330</v>
      </c>
      <c r="L36" s="549"/>
      <c r="M36" s="549"/>
      <c r="N36" s="550"/>
      <c r="O36" s="98" t="s">
        <v>236</v>
      </c>
      <c r="P36" s="98" t="s">
        <v>257</v>
      </c>
      <c r="Q36" s="585" t="s">
        <v>329</v>
      </c>
      <c r="R36" s="615"/>
      <c r="S36" s="873"/>
      <c r="U36" s="89"/>
      <c r="V36" s="658"/>
      <c r="W36" s="1">
        <v>500</v>
      </c>
      <c r="X36" s="139"/>
      <c r="Y36" s="139"/>
      <c r="Z36" s="139"/>
      <c r="AA36" s="136"/>
      <c r="AB36" s="136"/>
      <c r="AC36" s="136"/>
      <c r="AD36" s="136"/>
      <c r="AE36" s="136"/>
      <c r="AF36" s="141"/>
      <c r="AG36" s="141"/>
      <c r="AH36" s="265"/>
      <c r="AI36" s="265"/>
      <c r="AJ36" s="139"/>
      <c r="AK36" s="139"/>
      <c r="AL36" s="142"/>
      <c r="AM36" s="139"/>
      <c r="AN36" s="139"/>
      <c r="AO36" s="139"/>
      <c r="AP36" s="138"/>
      <c r="AQ36" s="89"/>
    </row>
    <row r="37" spans="1:43" ht="13.15" customHeight="1" x14ac:dyDescent="0.2">
      <c r="A37" s="19" t="s">
        <v>258</v>
      </c>
      <c r="B37" s="60"/>
      <c r="C37" s="24">
        <v>15</v>
      </c>
      <c r="D37" s="24">
        <v>40</v>
      </c>
      <c r="E37" s="583" t="s">
        <v>271</v>
      </c>
      <c r="F37" s="549"/>
      <c r="G37" s="549"/>
      <c r="H37" s="549"/>
      <c r="I37" s="549"/>
      <c r="J37" s="550"/>
      <c r="K37" s="584" t="s">
        <v>677</v>
      </c>
      <c r="L37" s="549"/>
      <c r="M37" s="549"/>
      <c r="N37" s="550"/>
      <c r="O37" s="98" t="s">
        <v>236</v>
      </c>
      <c r="P37" s="98" t="s">
        <v>246</v>
      </c>
      <c r="Q37" s="585" t="s">
        <v>306</v>
      </c>
      <c r="R37" s="615"/>
      <c r="S37" s="873"/>
      <c r="U37" s="89"/>
      <c r="V37" s="658"/>
      <c r="W37" s="1">
        <v>600</v>
      </c>
      <c r="X37" s="139"/>
      <c r="Y37" s="139"/>
      <c r="Z37" s="139"/>
      <c r="AA37" s="136"/>
      <c r="AB37" s="136"/>
      <c r="AC37" s="136"/>
      <c r="AD37" s="136"/>
      <c r="AE37" s="136"/>
      <c r="AF37" s="139"/>
      <c r="AG37" s="139"/>
      <c r="AH37" s="142"/>
      <c r="AI37" s="142"/>
      <c r="AJ37" s="139"/>
      <c r="AK37" s="139"/>
      <c r="AL37" s="142"/>
      <c r="AM37" s="139"/>
      <c r="AN37" s="142"/>
      <c r="AO37" s="139"/>
      <c r="AP37" s="139"/>
      <c r="AQ37" s="89"/>
    </row>
    <row r="38" spans="1:43" ht="13.15" customHeight="1" x14ac:dyDescent="0.2">
      <c r="A38" s="19"/>
      <c r="B38" s="60"/>
      <c r="C38" s="24">
        <v>50</v>
      </c>
      <c r="D38" s="24">
        <v>600</v>
      </c>
      <c r="E38" s="713" t="s">
        <v>378</v>
      </c>
      <c r="F38" s="714"/>
      <c r="G38" s="714"/>
      <c r="H38" s="714"/>
      <c r="I38" s="714"/>
      <c r="J38" s="715"/>
      <c r="K38" s="720" t="s">
        <v>351</v>
      </c>
      <c r="L38" s="714"/>
      <c r="M38" s="714"/>
      <c r="N38" s="715"/>
      <c r="O38" s="98" t="s">
        <v>236</v>
      </c>
      <c r="P38" s="98" t="s">
        <v>328</v>
      </c>
      <c r="Q38" s="718" t="s">
        <v>332</v>
      </c>
      <c r="R38" s="807"/>
      <c r="S38" s="554"/>
      <c r="T38" s="95"/>
      <c r="U38" s="96"/>
      <c r="V38" s="21"/>
      <c r="W38"/>
      <c r="X38">
        <v>15</v>
      </c>
      <c r="Y38" s="228" t="s">
        <v>642</v>
      </c>
      <c r="Z38" s="483">
        <v>25</v>
      </c>
      <c r="AA38" s="484" t="s">
        <v>643</v>
      </c>
      <c r="AB38">
        <v>40</v>
      </c>
      <c r="AC38">
        <v>50</v>
      </c>
      <c r="AD38" s="228" t="s">
        <v>295</v>
      </c>
      <c r="AE38">
        <v>80</v>
      </c>
      <c r="AF38">
        <v>100</v>
      </c>
      <c r="AG38" s="228" t="s">
        <v>296</v>
      </c>
      <c r="AH38">
        <v>150</v>
      </c>
      <c r="AI38">
        <v>200</v>
      </c>
      <c r="AJ38">
        <v>250</v>
      </c>
      <c r="AK38">
        <v>300</v>
      </c>
      <c r="AL38">
        <v>350</v>
      </c>
      <c r="AM38" s="2">
        <v>400</v>
      </c>
      <c r="AN38" s="2">
        <v>450</v>
      </c>
      <c r="AO38" s="2">
        <v>500</v>
      </c>
      <c r="AP38" s="2">
        <v>600</v>
      </c>
      <c r="AQ38" s="89"/>
    </row>
    <row r="39" spans="1:43" ht="13.15" customHeight="1" x14ac:dyDescent="0.2">
      <c r="A39" s="26" t="s">
        <v>216</v>
      </c>
      <c r="B39" s="454"/>
      <c r="C39" s="29">
        <v>25</v>
      </c>
      <c r="D39" s="25">
        <v>600</v>
      </c>
      <c r="E39" s="358" t="s">
        <v>384</v>
      </c>
      <c r="F39" s="359"/>
      <c r="G39" s="359"/>
      <c r="H39" s="359"/>
      <c r="I39" s="359"/>
      <c r="J39" s="360"/>
      <c r="K39" s="564" t="s">
        <v>677</v>
      </c>
      <c r="L39" s="562"/>
      <c r="M39" s="562"/>
      <c r="N39" s="563"/>
      <c r="O39" s="97" t="s">
        <v>236</v>
      </c>
      <c r="P39" s="97" t="s">
        <v>246</v>
      </c>
      <c r="Q39" s="565" t="s">
        <v>307</v>
      </c>
      <c r="R39" s="566"/>
      <c r="S39" s="827" t="s">
        <v>357</v>
      </c>
      <c r="T39" s="828"/>
      <c r="U39" s="829"/>
      <c r="V39" s="21"/>
      <c r="X39" s="659" t="s">
        <v>275</v>
      </c>
      <c r="Y39" s="660"/>
      <c r="Z39" s="660"/>
      <c r="AA39" s="660"/>
      <c r="AB39" s="660"/>
      <c r="AC39" s="660"/>
      <c r="AD39" s="660"/>
      <c r="AE39" s="660"/>
      <c r="AF39" s="660"/>
      <c r="AG39" s="660"/>
      <c r="AH39" s="660"/>
      <c r="AI39" s="660"/>
      <c r="AJ39" s="660"/>
      <c r="AK39" s="660"/>
      <c r="AL39" s="660"/>
      <c r="AM39" s="660"/>
      <c r="AN39" s="660"/>
      <c r="AO39" s="660"/>
      <c r="AP39" s="660"/>
      <c r="AQ39" s="89"/>
    </row>
    <row r="40" spans="1:43" ht="13.15" customHeight="1" x14ac:dyDescent="0.2">
      <c r="A40" s="19"/>
      <c r="B40" s="60"/>
      <c r="C40" s="24"/>
      <c r="D40" s="23"/>
      <c r="E40" s="155"/>
      <c r="F40" s="160"/>
      <c r="G40" s="160"/>
      <c r="H40" s="160"/>
      <c r="I40" s="160"/>
      <c r="J40" s="181"/>
      <c r="K40" s="182"/>
      <c r="L40" s="160"/>
      <c r="M40" s="160"/>
      <c r="N40" s="181"/>
      <c r="O40" s="98"/>
      <c r="P40" s="98"/>
      <c r="Q40" s="347"/>
      <c r="R40" s="348"/>
      <c r="S40" s="830"/>
      <c r="T40" s="831"/>
      <c r="U40" s="832"/>
      <c r="V40" s="21"/>
      <c r="Y40" s="117"/>
      <c r="Z40"/>
      <c r="AA40"/>
      <c r="AB40"/>
      <c r="AC40"/>
      <c r="AD40"/>
      <c r="AE40"/>
      <c r="AF40"/>
      <c r="AG40"/>
      <c r="AH40"/>
      <c r="AI40"/>
      <c r="AJ40"/>
      <c r="AK40"/>
      <c r="AL40"/>
      <c r="AQ40" s="89"/>
    </row>
    <row r="41" spans="1:43" ht="13.15" customHeight="1" x14ac:dyDescent="0.2">
      <c r="A41" s="20"/>
      <c r="B41" s="424"/>
      <c r="C41" s="28"/>
      <c r="D41" s="27"/>
      <c r="E41" s="320"/>
      <c r="F41" s="124"/>
      <c r="G41" s="124"/>
      <c r="H41" s="124"/>
      <c r="I41" s="124"/>
      <c r="J41" s="354"/>
      <c r="K41" s="321"/>
      <c r="L41" s="124"/>
      <c r="M41" s="124"/>
      <c r="N41" s="354"/>
      <c r="O41" s="110"/>
      <c r="P41" s="99"/>
      <c r="Q41" s="80"/>
      <c r="R41" s="80"/>
      <c r="S41" s="94"/>
      <c r="T41" s="95"/>
      <c r="U41" s="96"/>
      <c r="V41" s="21"/>
      <c r="X41" s="61" t="s">
        <v>713</v>
      </c>
      <c r="AQ41" s="89"/>
    </row>
    <row r="42" spans="1:43" ht="13.15" customHeight="1" x14ac:dyDescent="0.2">
      <c r="A42" s="19" t="s">
        <v>215</v>
      </c>
      <c r="B42" s="60"/>
      <c r="C42" s="24">
        <v>15</v>
      </c>
      <c r="D42" s="24">
        <v>600</v>
      </c>
      <c r="E42" s="358" t="s">
        <v>247</v>
      </c>
      <c r="F42" s="359"/>
      <c r="G42" s="359"/>
      <c r="H42" s="359"/>
      <c r="I42" s="359"/>
      <c r="J42" s="360"/>
      <c r="K42" s="564" t="s">
        <v>678</v>
      </c>
      <c r="L42" s="562"/>
      <c r="M42" s="562"/>
      <c r="N42" s="563"/>
      <c r="O42" s="97" t="s">
        <v>236</v>
      </c>
      <c r="P42" s="97" t="s">
        <v>246</v>
      </c>
      <c r="Q42" s="565" t="s">
        <v>307</v>
      </c>
      <c r="R42" s="566"/>
      <c r="S42" s="109"/>
      <c r="T42" s="91"/>
      <c r="U42" s="92"/>
      <c r="V42" s="21"/>
      <c r="X42" s="61" t="s">
        <v>681</v>
      </c>
      <c r="AQ42" s="89"/>
    </row>
    <row r="43" spans="1:43" ht="13.15" customHeight="1" x14ac:dyDescent="0.2">
      <c r="A43" s="19"/>
      <c r="B43" s="60"/>
      <c r="C43" s="24"/>
      <c r="D43" s="24"/>
      <c r="E43" s="155"/>
      <c r="F43" s="160"/>
      <c r="G43" s="160"/>
      <c r="H43" s="160"/>
      <c r="I43" s="160"/>
      <c r="J43" s="181"/>
      <c r="K43" s="182"/>
      <c r="L43" s="160"/>
      <c r="M43" s="160"/>
      <c r="N43" s="181"/>
      <c r="O43" s="98"/>
      <c r="P43" s="98"/>
      <c r="Q43" s="347"/>
      <c r="R43" s="161"/>
      <c r="S43" s="88"/>
      <c r="U43" s="89"/>
      <c r="V43" s="21"/>
      <c r="X43" s="61" t="s">
        <v>707</v>
      </c>
      <c r="AQ43" s="89"/>
    </row>
    <row r="44" spans="1:43" ht="13.15" customHeight="1" x14ac:dyDescent="0.2">
      <c r="A44" s="20"/>
      <c r="B44" s="424"/>
      <c r="C44" s="28"/>
      <c r="D44" s="28"/>
      <c r="E44" s="320"/>
      <c r="F44" s="124"/>
      <c r="G44" s="124"/>
      <c r="H44" s="124"/>
      <c r="I44" s="124"/>
      <c r="J44" s="354"/>
      <c r="K44" s="321"/>
      <c r="L44" s="124"/>
      <c r="M44" s="124"/>
      <c r="N44" s="354"/>
      <c r="O44" s="110"/>
      <c r="P44" s="110"/>
      <c r="Q44" s="80"/>
      <c r="R44" s="80"/>
      <c r="S44" s="94"/>
      <c r="T44" s="95"/>
      <c r="U44" s="96"/>
      <c r="V44" s="21"/>
      <c r="X44" s="61" t="s">
        <v>708</v>
      </c>
      <c r="AQ44" s="89"/>
    </row>
    <row r="45" spans="1:43" ht="13.15" customHeight="1" x14ac:dyDescent="0.2">
      <c r="A45" s="19" t="s">
        <v>214</v>
      </c>
      <c r="B45" s="60"/>
      <c r="C45" s="24">
        <v>15</v>
      </c>
      <c r="D45" s="24">
        <v>80</v>
      </c>
      <c r="E45" s="155" t="s">
        <v>483</v>
      </c>
      <c r="F45" s="160"/>
      <c r="G45" s="160"/>
      <c r="H45" s="160"/>
      <c r="I45" s="160"/>
      <c r="J45" s="181"/>
      <c r="K45" s="182" t="s">
        <v>365</v>
      </c>
      <c r="L45" s="160"/>
      <c r="M45" s="160"/>
      <c r="N45" s="181"/>
      <c r="O45" s="97" t="s">
        <v>337</v>
      </c>
      <c r="P45" s="97" t="s">
        <v>363</v>
      </c>
      <c r="Q45" s="565" t="s">
        <v>309</v>
      </c>
      <c r="R45" s="566"/>
      <c r="S45" s="109"/>
      <c r="T45" s="91"/>
      <c r="U45" s="92"/>
      <c r="V45" s="21"/>
      <c r="AQ45" s="89"/>
    </row>
    <row r="46" spans="1:43" ht="13.15" customHeight="1" x14ac:dyDescent="0.2">
      <c r="A46" s="19"/>
      <c r="B46" s="60"/>
      <c r="C46" s="24">
        <v>100</v>
      </c>
      <c r="D46" s="23">
        <v>300</v>
      </c>
      <c r="E46" s="155" t="s">
        <v>483</v>
      </c>
      <c r="F46" s="160"/>
      <c r="G46" s="160"/>
      <c r="H46" s="160"/>
      <c r="I46" s="160"/>
      <c r="J46" s="181"/>
      <c r="K46" s="182" t="s">
        <v>365</v>
      </c>
      <c r="L46" s="160"/>
      <c r="M46" s="160"/>
      <c r="N46" s="181"/>
      <c r="O46" s="98" t="s">
        <v>337</v>
      </c>
      <c r="P46" s="98" t="s">
        <v>363</v>
      </c>
      <c r="Q46" s="585" t="s">
        <v>309</v>
      </c>
      <c r="R46" s="615"/>
      <c r="S46" s="93" t="s">
        <v>292</v>
      </c>
      <c r="U46" s="89"/>
      <c r="V46" s="21"/>
      <c r="AQ46" s="89"/>
    </row>
    <row r="47" spans="1:43" ht="13.15" customHeight="1" x14ac:dyDescent="0.2">
      <c r="A47" s="19"/>
      <c r="B47" s="60"/>
      <c r="C47" s="28"/>
      <c r="D47" s="27"/>
      <c r="E47" s="320"/>
      <c r="F47" s="349"/>
      <c r="G47" s="349"/>
      <c r="H47" s="349"/>
      <c r="I47" s="349"/>
      <c r="J47" s="350"/>
      <c r="K47" s="321"/>
      <c r="L47" s="349"/>
      <c r="M47" s="349"/>
      <c r="N47" s="350"/>
      <c r="O47" s="110"/>
      <c r="P47" s="110"/>
      <c r="Q47" s="321"/>
      <c r="R47" s="367"/>
      <c r="S47" s="369" t="s">
        <v>531</v>
      </c>
      <c r="T47" s="365"/>
      <c r="U47" s="370"/>
      <c r="V47" s="21"/>
      <c r="AQ47" s="89"/>
    </row>
    <row r="48" spans="1:43" ht="13.15" customHeight="1" x14ac:dyDescent="0.2">
      <c r="A48" s="26" t="s">
        <v>213</v>
      </c>
      <c r="B48" s="435"/>
      <c r="C48" s="24">
        <v>15</v>
      </c>
      <c r="D48" s="24">
        <v>80</v>
      </c>
      <c r="E48" s="358" t="s">
        <v>514</v>
      </c>
      <c r="F48" s="359"/>
      <c r="G48" s="359"/>
      <c r="H48" s="359"/>
      <c r="I48" s="359"/>
      <c r="J48" s="360"/>
      <c r="K48" s="182" t="s">
        <v>365</v>
      </c>
      <c r="L48" s="160"/>
      <c r="M48" s="160"/>
      <c r="N48" s="181"/>
      <c r="O48" s="97" t="s">
        <v>337</v>
      </c>
      <c r="P48" s="97" t="s">
        <v>248</v>
      </c>
      <c r="Q48" s="565" t="s">
        <v>309</v>
      </c>
      <c r="R48" s="566"/>
      <c r="S48" s="827" t="s">
        <v>513</v>
      </c>
      <c r="T48" s="552"/>
      <c r="U48" s="826"/>
      <c r="V48" s="21"/>
      <c r="AQ48" s="89"/>
    </row>
    <row r="49" spans="1:43" x14ac:dyDescent="0.2">
      <c r="A49" s="19"/>
      <c r="B49" s="60"/>
      <c r="C49" s="24">
        <v>100</v>
      </c>
      <c r="D49" s="23">
        <v>300</v>
      </c>
      <c r="E49" s="155" t="s">
        <v>514</v>
      </c>
      <c r="F49" s="160"/>
      <c r="G49" s="160"/>
      <c r="H49" s="160"/>
      <c r="I49" s="160"/>
      <c r="J49" s="181"/>
      <c r="K49" s="182" t="s">
        <v>365</v>
      </c>
      <c r="L49" s="160"/>
      <c r="M49" s="160"/>
      <c r="N49" s="181"/>
      <c r="O49" s="98" t="s">
        <v>337</v>
      </c>
      <c r="P49" s="98" t="s">
        <v>248</v>
      </c>
      <c r="Q49" s="585" t="s">
        <v>309</v>
      </c>
      <c r="R49" s="615"/>
      <c r="S49" s="873"/>
      <c r="T49" s="547"/>
      <c r="U49" s="823"/>
      <c r="V49" s="21"/>
      <c r="AQ49" s="89"/>
    </row>
    <row r="50" spans="1:43" ht="13.15" customHeight="1" x14ac:dyDescent="0.2">
      <c r="A50" s="20"/>
      <c r="B50" s="424"/>
      <c r="C50" s="28"/>
      <c r="D50" s="28"/>
      <c r="E50" s="320"/>
      <c r="F50" s="124"/>
      <c r="G50" s="124"/>
      <c r="H50" s="124"/>
      <c r="I50" s="124"/>
      <c r="J50" s="354"/>
      <c r="K50" s="321"/>
      <c r="L50" s="124"/>
      <c r="M50" s="124"/>
      <c r="N50" s="124"/>
      <c r="O50" s="110"/>
      <c r="P50" s="110"/>
      <c r="Q50" s="80"/>
      <c r="R50" s="80"/>
      <c r="S50" s="554"/>
      <c r="T50" s="555"/>
      <c r="U50" s="874"/>
      <c r="V50" s="21"/>
      <c r="AQ50" s="89"/>
    </row>
    <row r="51" spans="1:43" ht="13.15" customHeight="1" x14ac:dyDescent="0.2">
      <c r="A51" s="19" t="s">
        <v>264</v>
      </c>
      <c r="B51" s="60"/>
      <c r="C51" s="24" t="s">
        <v>313</v>
      </c>
      <c r="D51" s="24" t="s">
        <v>364</v>
      </c>
      <c r="E51" s="358" t="s">
        <v>367</v>
      </c>
      <c r="F51" s="359"/>
      <c r="G51" s="359"/>
      <c r="H51" s="359"/>
      <c r="I51" s="359"/>
      <c r="J51" s="360"/>
      <c r="K51" s="361" t="s">
        <v>655</v>
      </c>
      <c r="L51" s="359"/>
      <c r="M51" s="359"/>
      <c r="N51" s="360"/>
      <c r="O51" s="98" t="s">
        <v>337</v>
      </c>
      <c r="P51" s="97" t="s">
        <v>257</v>
      </c>
      <c r="Q51" s="565" t="s">
        <v>369</v>
      </c>
      <c r="R51" s="566"/>
      <c r="S51" s="109" t="s">
        <v>424</v>
      </c>
      <c r="T51" s="91"/>
      <c r="U51" s="92"/>
      <c r="V51" s="21"/>
      <c r="AQ51" s="89"/>
    </row>
    <row r="52" spans="1:43" ht="13.15" customHeight="1" x14ac:dyDescent="0.2">
      <c r="A52" s="20"/>
      <c r="B52" s="424"/>
      <c r="C52" s="28" t="s">
        <v>338</v>
      </c>
      <c r="D52" s="28" t="s">
        <v>366</v>
      </c>
      <c r="E52" s="320" t="s">
        <v>368</v>
      </c>
      <c r="F52" s="349"/>
      <c r="G52" s="349"/>
      <c r="H52" s="349"/>
      <c r="I52" s="349"/>
      <c r="J52" s="350"/>
      <c r="K52" s="321" t="s">
        <v>655</v>
      </c>
      <c r="L52" s="349"/>
      <c r="M52" s="349"/>
      <c r="N52" s="350"/>
      <c r="O52" s="98" t="s">
        <v>337</v>
      </c>
      <c r="P52" s="146" t="s">
        <v>257</v>
      </c>
      <c r="Q52" s="746" t="s">
        <v>370</v>
      </c>
      <c r="R52" s="864"/>
      <c r="S52" s="93" t="s">
        <v>533</v>
      </c>
      <c r="T52" s="266"/>
      <c r="U52" s="267"/>
      <c r="V52" s="21"/>
      <c r="AQ52" s="89"/>
    </row>
    <row r="53" spans="1:43" ht="13.15" customHeight="1" x14ac:dyDescent="0.2">
      <c r="A53" s="19" t="s">
        <v>212</v>
      </c>
      <c r="B53" s="60"/>
      <c r="C53" s="24" t="s">
        <v>313</v>
      </c>
      <c r="D53" s="24" t="s">
        <v>364</v>
      </c>
      <c r="E53" s="358" t="s">
        <v>383</v>
      </c>
      <c r="F53" s="359"/>
      <c r="G53" s="359"/>
      <c r="H53" s="359"/>
      <c r="I53" s="359"/>
      <c r="J53" s="360"/>
      <c r="K53" s="361" t="s">
        <v>655</v>
      </c>
      <c r="L53" s="359"/>
      <c r="M53" s="359"/>
      <c r="N53" s="360"/>
      <c r="O53" s="97" t="s">
        <v>337</v>
      </c>
      <c r="P53" s="97" t="s">
        <v>257</v>
      </c>
      <c r="Q53" s="565" t="s">
        <v>316</v>
      </c>
      <c r="R53" s="566"/>
      <c r="S53" s="109" t="s">
        <v>424</v>
      </c>
      <c r="T53" s="91"/>
      <c r="U53" s="92"/>
      <c r="V53" s="21"/>
      <c r="AQ53" s="89"/>
    </row>
    <row r="54" spans="1:43" ht="13.15" customHeight="1" x14ac:dyDescent="0.2">
      <c r="A54" s="20"/>
      <c r="B54" s="424"/>
      <c r="C54" s="28" t="s">
        <v>338</v>
      </c>
      <c r="D54" s="28" t="s">
        <v>366</v>
      </c>
      <c r="E54" s="320" t="s">
        <v>371</v>
      </c>
      <c r="F54" s="349"/>
      <c r="G54" s="349"/>
      <c r="H54" s="349"/>
      <c r="I54" s="349"/>
      <c r="J54" s="350"/>
      <c r="K54" s="321" t="s">
        <v>655</v>
      </c>
      <c r="L54" s="349"/>
      <c r="M54" s="349"/>
      <c r="N54" s="350"/>
      <c r="O54" s="98" t="s">
        <v>337</v>
      </c>
      <c r="P54" s="146" t="s">
        <v>257</v>
      </c>
      <c r="Q54" s="746" t="s">
        <v>654</v>
      </c>
      <c r="R54" s="864"/>
      <c r="S54" s="93" t="s">
        <v>533</v>
      </c>
      <c r="T54" s="95"/>
      <c r="U54" s="96"/>
      <c r="V54" s="21"/>
      <c r="W54" s="310"/>
      <c r="X54" s="310"/>
      <c r="Y54" s="311"/>
      <c r="Z54" s="311"/>
      <c r="AA54" s="311"/>
      <c r="AB54" s="311"/>
      <c r="AC54" s="311"/>
      <c r="AD54" s="311"/>
      <c r="AE54" s="310"/>
      <c r="AF54" s="311"/>
      <c r="AG54" s="311"/>
      <c r="AH54" s="311"/>
      <c r="AI54" s="310"/>
      <c r="AJ54" s="310"/>
      <c r="AK54" s="310"/>
      <c r="AL54" s="311"/>
      <c r="AM54" s="310"/>
      <c r="AN54" s="161"/>
      <c r="AO54" s="161"/>
      <c r="AP54" s="311"/>
      <c r="AQ54" s="89"/>
    </row>
    <row r="55" spans="1:43" ht="13.15" customHeight="1" x14ac:dyDescent="0.2">
      <c r="A55" s="19" t="s">
        <v>211</v>
      </c>
      <c r="B55" s="60"/>
      <c r="C55" s="29">
        <v>15</v>
      </c>
      <c r="D55" s="25">
        <v>300</v>
      </c>
      <c r="E55" s="155" t="s">
        <v>263</v>
      </c>
      <c r="F55" s="160"/>
      <c r="G55" s="160"/>
      <c r="H55" s="160"/>
      <c r="I55" s="160"/>
      <c r="J55" s="181"/>
      <c r="K55" s="564" t="s">
        <v>724</v>
      </c>
      <c r="L55" s="562"/>
      <c r="M55" s="731" t="s">
        <v>725</v>
      </c>
      <c r="N55" s="550"/>
      <c r="O55" s="97" t="s">
        <v>337</v>
      </c>
      <c r="P55" s="97"/>
      <c r="Q55" s="565" t="s">
        <v>339</v>
      </c>
      <c r="R55" s="566"/>
      <c r="S55" s="825" t="s">
        <v>669</v>
      </c>
      <c r="T55" s="552"/>
      <c r="U55" s="826"/>
      <c r="V55" s="21"/>
      <c r="W55" s="624" t="s">
        <v>259</v>
      </c>
      <c r="X55" s="551" t="s">
        <v>197</v>
      </c>
      <c r="Y55" s="552"/>
      <c r="Z55" s="552"/>
      <c r="AA55" s="552"/>
      <c r="AB55" s="552"/>
      <c r="AC55" s="552"/>
      <c r="AD55" s="553"/>
      <c r="AE55" s="557" t="s">
        <v>241</v>
      </c>
      <c r="AF55" s="552"/>
      <c r="AG55" s="552"/>
      <c r="AH55" s="553"/>
      <c r="AI55" s="559" t="s">
        <v>243</v>
      </c>
      <c r="AJ55" s="559" t="s">
        <v>242</v>
      </c>
      <c r="AK55" s="557" t="s">
        <v>244</v>
      </c>
      <c r="AL55" s="553"/>
      <c r="AM55" s="557" t="s">
        <v>245</v>
      </c>
      <c r="AN55" s="626"/>
      <c r="AO55" s="626"/>
      <c r="AP55" s="627"/>
      <c r="AQ55" s="89"/>
    </row>
    <row r="56" spans="1:43" ht="13.15" customHeight="1" x14ac:dyDescent="0.2">
      <c r="A56" s="19"/>
      <c r="B56" s="60"/>
      <c r="C56" s="24">
        <v>15</v>
      </c>
      <c r="D56" s="23">
        <v>300</v>
      </c>
      <c r="E56" s="583" t="s">
        <v>728</v>
      </c>
      <c r="F56" s="549"/>
      <c r="G56" s="549"/>
      <c r="H56" s="549"/>
      <c r="I56" s="549"/>
      <c r="J56" s="550"/>
      <c r="K56" s="584" t="s">
        <v>724</v>
      </c>
      <c r="L56" s="549"/>
      <c r="M56" s="731" t="s">
        <v>726</v>
      </c>
      <c r="N56" s="550"/>
      <c r="O56" s="98" t="s">
        <v>337</v>
      </c>
      <c r="P56" s="98"/>
      <c r="Q56" s="585" t="s">
        <v>727</v>
      </c>
      <c r="R56" s="545"/>
      <c r="S56" s="93" t="s">
        <v>729</v>
      </c>
      <c r="T56" s="311"/>
      <c r="U56" s="371"/>
      <c r="V56" s="21"/>
      <c r="W56" s="625"/>
      <c r="X56" s="554"/>
      <c r="Y56" s="555"/>
      <c r="Z56" s="555"/>
      <c r="AA56" s="555"/>
      <c r="AB56" s="555"/>
      <c r="AC56" s="555"/>
      <c r="AD56" s="556"/>
      <c r="AE56" s="558"/>
      <c r="AF56" s="555"/>
      <c r="AG56" s="555"/>
      <c r="AH56" s="556"/>
      <c r="AI56" s="560"/>
      <c r="AJ56" s="560"/>
      <c r="AK56" s="558"/>
      <c r="AL56" s="556"/>
      <c r="AM56" s="628"/>
      <c r="AN56" s="586"/>
      <c r="AO56" s="586"/>
      <c r="AP56" s="629"/>
      <c r="AQ56" s="89"/>
    </row>
    <row r="57" spans="1:43" ht="13.15" customHeight="1" x14ac:dyDescent="0.2">
      <c r="A57" s="19"/>
      <c r="B57" s="60"/>
      <c r="C57" s="28"/>
      <c r="D57" s="27"/>
      <c r="E57" s="122"/>
      <c r="F57" s="123"/>
      <c r="G57" s="123"/>
      <c r="H57" s="123"/>
      <c r="I57" s="123"/>
      <c r="J57" s="112"/>
      <c r="K57" s="351"/>
      <c r="L57" s="123"/>
      <c r="M57" s="123"/>
      <c r="N57" s="112"/>
      <c r="O57" s="146"/>
      <c r="P57" s="146"/>
      <c r="Q57" s="123"/>
      <c r="R57" s="123"/>
      <c r="S57" s="88"/>
      <c r="U57" s="89"/>
      <c r="V57" s="21"/>
      <c r="W57" s="127" t="s">
        <v>390</v>
      </c>
      <c r="X57" s="630" t="s">
        <v>349</v>
      </c>
      <c r="Y57" s="552"/>
      <c r="Z57" s="552"/>
      <c r="AA57" s="552"/>
      <c r="AB57" s="552"/>
      <c r="AC57" s="552"/>
      <c r="AD57" s="553"/>
      <c r="AE57" s="572">
        <v>1.5415000000000001</v>
      </c>
      <c r="AF57" s="573"/>
      <c r="AG57" s="573"/>
      <c r="AH57" s="574"/>
      <c r="AI57" s="125" t="s">
        <v>236</v>
      </c>
      <c r="AJ57" s="125" t="s">
        <v>246</v>
      </c>
      <c r="AK57" s="575" t="s">
        <v>348</v>
      </c>
      <c r="AL57" s="576"/>
      <c r="AM57" s="90"/>
      <c r="AN57" s="91"/>
      <c r="AO57" s="91"/>
      <c r="AP57" s="129"/>
      <c r="AQ57" s="89"/>
    </row>
    <row r="58" spans="1:43" ht="13.15" customHeight="1" x14ac:dyDescent="0.2">
      <c r="A58" s="375" t="s">
        <v>547</v>
      </c>
      <c r="B58" s="462"/>
      <c r="C58" s="376"/>
      <c r="D58" s="376"/>
      <c r="E58" s="587"/>
      <c r="F58" s="588"/>
      <c r="G58" s="588"/>
      <c r="H58" s="588"/>
      <c r="I58" s="588"/>
      <c r="J58" s="589"/>
      <c r="K58" s="590"/>
      <c r="L58" s="588"/>
      <c r="M58" s="588"/>
      <c r="N58" s="589"/>
      <c r="O58" s="377" t="s">
        <v>337</v>
      </c>
      <c r="P58" s="377"/>
      <c r="Q58" s="591" t="s">
        <v>549</v>
      </c>
      <c r="R58" s="592"/>
      <c r="S58" s="378"/>
      <c r="T58" s="379"/>
      <c r="U58" s="380"/>
      <c r="V58" s="21"/>
      <c r="W58" s="128" t="s">
        <v>391</v>
      </c>
      <c r="X58" s="546" t="s">
        <v>350</v>
      </c>
      <c r="Y58" s="547"/>
      <c r="Z58" s="547"/>
      <c r="AA58" s="547"/>
      <c r="AB58" s="547"/>
      <c r="AC58" s="547"/>
      <c r="AD58" s="548"/>
      <c r="AE58" s="541">
        <v>1.5415000000000001</v>
      </c>
      <c r="AF58" s="542"/>
      <c r="AG58" s="542"/>
      <c r="AH58" s="543"/>
      <c r="AI58" s="126" t="s">
        <v>236</v>
      </c>
      <c r="AJ58" s="126" t="s">
        <v>246</v>
      </c>
      <c r="AK58" s="544" t="s">
        <v>348</v>
      </c>
      <c r="AL58" s="545"/>
      <c r="AM58" s="88"/>
      <c r="AP58" s="130"/>
      <c r="AQ58" s="89"/>
    </row>
    <row r="59" spans="1:43" ht="13.15" customHeight="1" x14ac:dyDescent="0.2">
      <c r="A59" s="26" t="s">
        <v>278</v>
      </c>
      <c r="B59" s="60"/>
      <c r="C59" s="24" t="s">
        <v>210</v>
      </c>
      <c r="D59" s="25">
        <v>50</v>
      </c>
      <c r="E59" s="561" t="s">
        <v>507</v>
      </c>
      <c r="F59" s="595"/>
      <c r="G59" s="595"/>
      <c r="H59" s="595"/>
      <c r="I59" s="595"/>
      <c r="J59" s="596"/>
      <c r="K59" s="597" t="s">
        <v>451</v>
      </c>
      <c r="L59" s="598"/>
      <c r="M59" s="598"/>
      <c r="N59" s="599"/>
      <c r="O59" s="97" t="s">
        <v>337</v>
      </c>
      <c r="P59" s="97" t="s">
        <v>283</v>
      </c>
      <c r="Q59" s="565" t="s">
        <v>266</v>
      </c>
      <c r="R59" s="566"/>
      <c r="S59" s="90"/>
      <c r="T59" s="91"/>
      <c r="U59" s="92"/>
      <c r="V59" s="21"/>
      <c r="W59" s="128" t="s">
        <v>345</v>
      </c>
      <c r="X59" s="546" t="s">
        <v>431</v>
      </c>
      <c r="Y59" s="547"/>
      <c r="Z59" s="547"/>
      <c r="AA59" s="547"/>
      <c r="AB59" s="547"/>
      <c r="AC59" s="547"/>
      <c r="AD59" s="548"/>
      <c r="AE59" s="541" t="s">
        <v>393</v>
      </c>
      <c r="AF59" s="542"/>
      <c r="AG59" s="542"/>
      <c r="AH59" s="543"/>
      <c r="AI59" s="126" t="s">
        <v>236</v>
      </c>
      <c r="AJ59" s="126" t="s">
        <v>328</v>
      </c>
      <c r="AK59" s="544" t="s">
        <v>347</v>
      </c>
      <c r="AL59" s="545"/>
      <c r="AM59" s="88"/>
      <c r="AP59" s="130"/>
      <c r="AQ59" s="89"/>
    </row>
    <row r="60" spans="1:43" ht="13.15" customHeight="1" x14ac:dyDescent="0.2">
      <c r="A60" s="178" t="s">
        <v>279</v>
      </c>
      <c r="B60" s="374"/>
      <c r="C60" s="24">
        <v>80</v>
      </c>
      <c r="D60" s="23" t="s">
        <v>277</v>
      </c>
      <c r="E60" s="619" t="s">
        <v>508</v>
      </c>
      <c r="F60" s="620"/>
      <c r="G60" s="620"/>
      <c r="H60" s="620"/>
      <c r="I60" s="620"/>
      <c r="J60" s="621"/>
      <c r="K60" s="567" t="s">
        <v>451</v>
      </c>
      <c r="L60" s="568"/>
      <c r="M60" s="568"/>
      <c r="N60" s="569"/>
      <c r="O60" s="98" t="s">
        <v>337</v>
      </c>
      <c r="P60" s="98" t="s">
        <v>283</v>
      </c>
      <c r="Q60" s="570" t="s">
        <v>266</v>
      </c>
      <c r="R60" s="571"/>
      <c r="S60" s="88"/>
      <c r="U60" s="89"/>
      <c r="V60" s="21"/>
      <c r="W60" s="128" t="s">
        <v>346</v>
      </c>
      <c r="X60" s="546" t="s">
        <v>432</v>
      </c>
      <c r="Y60" s="547"/>
      <c r="Z60" s="547"/>
      <c r="AA60" s="547"/>
      <c r="AB60" s="547"/>
      <c r="AC60" s="547"/>
      <c r="AD60" s="548"/>
      <c r="AE60" s="541" t="s">
        <v>393</v>
      </c>
      <c r="AF60" s="542"/>
      <c r="AG60" s="542"/>
      <c r="AH60" s="543"/>
      <c r="AI60" s="126" t="s">
        <v>236</v>
      </c>
      <c r="AJ60" s="126" t="s">
        <v>328</v>
      </c>
      <c r="AK60" s="544" t="s">
        <v>347</v>
      </c>
      <c r="AL60" s="545"/>
      <c r="AM60" s="329" t="s">
        <v>631</v>
      </c>
      <c r="AP60" s="130"/>
      <c r="AQ60" s="89"/>
    </row>
    <row r="61" spans="1:43" ht="13.15" customHeight="1" x14ac:dyDescent="0.2">
      <c r="A61" s="178" t="s">
        <v>280</v>
      </c>
      <c r="B61" s="374"/>
      <c r="C61" s="24"/>
      <c r="D61" s="23"/>
      <c r="E61" s="184"/>
      <c r="F61" s="179"/>
      <c r="G61" s="179"/>
      <c r="H61" s="179"/>
      <c r="I61" s="179"/>
      <c r="J61" s="179"/>
      <c r="K61" s="179"/>
      <c r="L61" s="179"/>
      <c r="M61" s="179"/>
      <c r="N61" s="179"/>
      <c r="O61" s="179"/>
      <c r="P61" s="179"/>
      <c r="Q61" s="179"/>
      <c r="R61" s="180"/>
      <c r="S61" s="88"/>
      <c r="U61" s="89"/>
      <c r="V61" s="21"/>
      <c r="W61" s="128" t="s">
        <v>328</v>
      </c>
      <c r="X61" s="546" t="s">
        <v>395</v>
      </c>
      <c r="Y61" s="547"/>
      <c r="Z61" s="547"/>
      <c r="AA61" s="547"/>
      <c r="AB61" s="547"/>
      <c r="AC61" s="547"/>
      <c r="AD61" s="548"/>
      <c r="AE61" s="541" t="s">
        <v>392</v>
      </c>
      <c r="AF61" s="542"/>
      <c r="AG61" s="542"/>
      <c r="AH61" s="543"/>
      <c r="AI61" s="126" t="s">
        <v>236</v>
      </c>
      <c r="AJ61" s="126" t="s">
        <v>328</v>
      </c>
      <c r="AK61" s="544" t="s">
        <v>347</v>
      </c>
      <c r="AL61" s="545"/>
      <c r="AM61" s="329" t="s">
        <v>631</v>
      </c>
      <c r="AP61" s="130"/>
      <c r="AQ61" s="89"/>
    </row>
    <row r="62" spans="1:43" ht="13.15" customHeight="1" x14ac:dyDescent="0.2">
      <c r="A62" s="178" t="s">
        <v>281</v>
      </c>
      <c r="B62" s="374"/>
      <c r="C62" s="24"/>
      <c r="D62" s="23"/>
      <c r="E62" s="155"/>
      <c r="F62" s="80"/>
      <c r="G62" s="80"/>
      <c r="H62" s="80"/>
      <c r="I62" s="80"/>
      <c r="J62" s="80"/>
      <c r="K62" s="80"/>
      <c r="L62" s="80"/>
      <c r="M62" s="80"/>
      <c r="N62" s="80"/>
      <c r="O62" s="80"/>
      <c r="P62" s="80"/>
      <c r="Q62" s="80"/>
      <c r="R62" s="80"/>
      <c r="S62" s="88"/>
      <c r="U62" s="89"/>
      <c r="V62" s="21"/>
      <c r="W62" s="128"/>
      <c r="X62" s="260"/>
      <c r="Y62" s="160"/>
      <c r="Z62" s="160"/>
      <c r="AA62" s="160"/>
      <c r="AB62" s="160"/>
      <c r="AE62" s="541"/>
      <c r="AF62" s="542"/>
      <c r="AG62" s="542"/>
      <c r="AH62" s="543"/>
      <c r="AI62" s="126"/>
      <c r="AJ62" s="126"/>
      <c r="AK62" s="544"/>
      <c r="AL62" s="545"/>
      <c r="AM62" s="88"/>
      <c r="AP62" s="130"/>
      <c r="AQ62" s="89"/>
    </row>
    <row r="63" spans="1:43" ht="13.15" customHeight="1" x14ac:dyDescent="0.2">
      <c r="A63" s="178" t="s">
        <v>282</v>
      </c>
      <c r="B63" s="374"/>
      <c r="C63" s="23"/>
      <c r="D63" s="22"/>
      <c r="E63" s="155"/>
      <c r="F63" s="80"/>
      <c r="G63" s="80"/>
      <c r="H63" s="80"/>
      <c r="I63" s="80"/>
      <c r="J63" s="80"/>
      <c r="K63" s="80"/>
      <c r="L63" s="80"/>
      <c r="M63" s="80"/>
      <c r="N63" s="80"/>
      <c r="O63" s="80"/>
      <c r="P63" s="80"/>
      <c r="Q63" s="80"/>
      <c r="R63" s="80"/>
      <c r="S63" s="94"/>
      <c r="T63" s="95"/>
      <c r="U63" s="96"/>
      <c r="V63" s="21"/>
      <c r="W63" s="132"/>
      <c r="X63" s="94"/>
      <c r="Y63" s="95"/>
      <c r="Z63" s="95"/>
      <c r="AA63" s="95"/>
      <c r="AB63" s="95"/>
      <c r="AC63" s="95"/>
      <c r="AD63" s="133"/>
      <c r="AE63" s="134"/>
      <c r="AF63" s="95"/>
      <c r="AG63" s="95"/>
      <c r="AH63" s="133"/>
      <c r="AI63" s="135"/>
      <c r="AJ63" s="135"/>
      <c r="AK63" s="134"/>
      <c r="AL63" s="131"/>
      <c r="AM63" s="95"/>
      <c r="AN63" s="95"/>
      <c r="AO63" s="95"/>
      <c r="AP63" s="131"/>
      <c r="AQ63" s="89"/>
    </row>
    <row r="64" spans="1:43" ht="13.15" customHeight="1" x14ac:dyDescent="0.2">
      <c r="A64" s="741" t="s">
        <v>660</v>
      </c>
      <c r="B64" s="742"/>
      <c r="C64" s="689"/>
      <c r="D64" s="689"/>
      <c r="E64" s="689"/>
      <c r="F64" s="689"/>
      <c r="G64" s="689"/>
      <c r="H64" s="689"/>
      <c r="I64" s="689"/>
      <c r="J64" s="689"/>
      <c r="K64" s="689"/>
      <c r="L64" s="689"/>
      <c r="M64" s="689"/>
      <c r="N64" s="689"/>
      <c r="O64" s="689"/>
      <c r="P64" s="689"/>
      <c r="Q64" s="689"/>
      <c r="R64" s="743"/>
      <c r="S64" s="327" t="s">
        <v>479</v>
      </c>
      <c r="T64" s="91"/>
      <c r="U64" s="92"/>
      <c r="V64" s="21"/>
      <c r="AQ64" s="89"/>
    </row>
    <row r="65" spans="1:43" ht="13.15" customHeight="1" x14ac:dyDescent="0.2">
      <c r="A65" s="744"/>
      <c r="B65" s="692"/>
      <c r="C65" s="692"/>
      <c r="D65" s="692"/>
      <c r="E65" s="692"/>
      <c r="F65" s="692"/>
      <c r="G65" s="692"/>
      <c r="H65" s="692"/>
      <c r="I65" s="692"/>
      <c r="J65" s="692"/>
      <c r="K65" s="692"/>
      <c r="L65" s="692"/>
      <c r="M65" s="692"/>
      <c r="N65" s="692"/>
      <c r="O65" s="692"/>
      <c r="P65" s="692"/>
      <c r="Q65" s="692"/>
      <c r="R65" s="745"/>
      <c r="S65" s="93" t="s">
        <v>480</v>
      </c>
      <c r="U65" s="89"/>
      <c r="V65" s="21"/>
      <c r="AQ65" s="89"/>
    </row>
    <row r="66" spans="1:43" ht="13.15" customHeight="1" x14ac:dyDescent="0.2">
      <c r="A66" s="744"/>
      <c r="B66" s="692"/>
      <c r="C66" s="692"/>
      <c r="D66" s="692"/>
      <c r="E66" s="692"/>
      <c r="F66" s="692"/>
      <c r="G66" s="692"/>
      <c r="H66" s="692"/>
      <c r="I66" s="692"/>
      <c r="J66" s="692"/>
      <c r="K66" s="692"/>
      <c r="L66" s="692"/>
      <c r="M66" s="692"/>
      <c r="N66" s="692"/>
      <c r="O66" s="692"/>
      <c r="P66" s="692"/>
      <c r="Q66" s="692"/>
      <c r="R66" s="745"/>
      <c r="S66" s="93" t="s">
        <v>486</v>
      </c>
      <c r="U66" s="89"/>
      <c r="V66" s="21"/>
      <c r="AQ66" s="89"/>
    </row>
    <row r="67" spans="1:43" ht="13.15" customHeight="1" x14ac:dyDescent="0.2">
      <c r="A67" s="744"/>
      <c r="B67" s="692"/>
      <c r="C67" s="692"/>
      <c r="D67" s="692"/>
      <c r="E67" s="692"/>
      <c r="F67" s="692"/>
      <c r="G67" s="692"/>
      <c r="H67" s="692"/>
      <c r="I67" s="692"/>
      <c r="J67" s="692"/>
      <c r="K67" s="692"/>
      <c r="L67" s="692"/>
      <c r="M67" s="692"/>
      <c r="N67" s="692"/>
      <c r="O67" s="692"/>
      <c r="P67" s="692"/>
      <c r="Q67" s="692"/>
      <c r="R67" s="745"/>
      <c r="S67" s="93" t="s">
        <v>487</v>
      </c>
      <c r="U67" s="89"/>
      <c r="V67" s="21"/>
      <c r="AQ67" s="89"/>
    </row>
    <row r="68" spans="1:43" ht="13.15" customHeight="1" x14ac:dyDescent="0.2">
      <c r="A68" s="744"/>
      <c r="B68" s="692"/>
      <c r="C68" s="692"/>
      <c r="D68" s="692"/>
      <c r="E68" s="692"/>
      <c r="F68" s="692"/>
      <c r="G68" s="692"/>
      <c r="H68" s="692"/>
      <c r="I68" s="692"/>
      <c r="J68" s="692"/>
      <c r="K68" s="692"/>
      <c r="L68" s="692"/>
      <c r="M68" s="692"/>
      <c r="N68" s="692"/>
      <c r="O68" s="692"/>
      <c r="P68" s="692"/>
      <c r="Q68" s="692"/>
      <c r="R68" s="745"/>
      <c r="S68" s="93" t="s">
        <v>488</v>
      </c>
      <c r="U68" s="89"/>
      <c r="V68" s="21"/>
      <c r="AQ68" s="89"/>
    </row>
    <row r="69" spans="1:43" ht="13.15" customHeight="1" x14ac:dyDescent="0.2">
      <c r="A69" s="744"/>
      <c r="B69" s="692"/>
      <c r="C69" s="692"/>
      <c r="D69" s="692"/>
      <c r="E69" s="692"/>
      <c r="F69" s="692"/>
      <c r="G69" s="692"/>
      <c r="H69" s="692"/>
      <c r="I69" s="692"/>
      <c r="J69" s="692"/>
      <c r="K69" s="692"/>
      <c r="L69" s="692"/>
      <c r="M69" s="692"/>
      <c r="N69" s="692"/>
      <c r="O69" s="692"/>
      <c r="P69" s="692"/>
      <c r="Q69" s="692"/>
      <c r="R69" s="745"/>
      <c r="S69" s="60" t="s">
        <v>499</v>
      </c>
      <c r="U69" s="89"/>
      <c r="V69" s="21"/>
      <c r="AQ69" s="89"/>
    </row>
    <row r="70" spans="1:43" ht="13.15" customHeight="1" x14ac:dyDescent="0.2">
      <c r="A70" s="622" t="s">
        <v>535</v>
      </c>
      <c r="B70" s="623"/>
      <c r="C70" s="623"/>
      <c r="D70" s="623"/>
      <c r="E70" s="623"/>
      <c r="F70" s="623"/>
      <c r="G70" s="623"/>
      <c r="H70" s="623"/>
      <c r="I70" s="623"/>
      <c r="J70" s="623"/>
      <c r="K70" s="623"/>
      <c r="L70" s="623"/>
      <c r="M70" s="623"/>
      <c r="N70" s="623"/>
      <c r="O70" s="623"/>
      <c r="P70" s="623"/>
      <c r="Q70" s="623"/>
      <c r="R70" s="623"/>
      <c r="S70" s="93" t="s">
        <v>498</v>
      </c>
      <c r="U70" s="89"/>
      <c r="V70" s="21"/>
      <c r="AQ70" s="89"/>
    </row>
    <row r="71" spans="1:43" ht="13.15" customHeight="1" x14ac:dyDescent="0.2">
      <c r="A71" s="19" t="s">
        <v>260</v>
      </c>
      <c r="B71" s="435"/>
      <c r="C71" s="583" t="s">
        <v>269</v>
      </c>
      <c r="D71" s="602"/>
      <c r="E71" s="602"/>
      <c r="F71" s="602"/>
      <c r="G71" s="602"/>
      <c r="H71" s="602"/>
      <c r="I71" s="602"/>
      <c r="J71" s="602"/>
      <c r="K71" s="602"/>
      <c r="L71" s="602"/>
      <c r="M71" s="602"/>
      <c r="N71" s="602"/>
      <c r="O71" s="602"/>
      <c r="P71" s="602"/>
      <c r="Q71" s="602"/>
      <c r="R71" s="602"/>
      <c r="S71" s="93" t="s">
        <v>489</v>
      </c>
      <c r="U71" s="89"/>
      <c r="V71" s="21"/>
      <c r="AQ71" s="89"/>
    </row>
    <row r="72" spans="1:43" ht="13.15" customHeight="1" x14ac:dyDescent="0.2">
      <c r="A72" s="375" t="s">
        <v>478</v>
      </c>
      <c r="B72" s="463"/>
      <c r="C72" s="587" t="s">
        <v>269</v>
      </c>
      <c r="D72" s="609"/>
      <c r="E72" s="609"/>
      <c r="F72" s="609"/>
      <c r="G72" s="609"/>
      <c r="H72" s="609"/>
      <c r="I72" s="609"/>
      <c r="J72" s="609"/>
      <c r="K72" s="609"/>
      <c r="L72" s="609"/>
      <c r="M72" s="609"/>
      <c r="N72" s="609"/>
      <c r="O72" s="609"/>
      <c r="P72" s="609"/>
      <c r="Q72" s="609"/>
      <c r="R72" s="609"/>
      <c r="S72" s="93" t="s">
        <v>490</v>
      </c>
      <c r="U72" s="89"/>
      <c r="V72" s="21"/>
      <c r="AQ72" s="89"/>
    </row>
    <row r="73" spans="1:43" ht="13.15" customHeight="1" x14ac:dyDescent="0.2">
      <c r="A73" s="19" t="s">
        <v>372</v>
      </c>
      <c r="B73" s="60"/>
      <c r="C73" s="583" t="s">
        <v>320</v>
      </c>
      <c r="D73" s="600"/>
      <c r="E73" s="600"/>
      <c r="F73" s="600"/>
      <c r="G73" s="600"/>
      <c r="H73" s="600"/>
      <c r="I73" s="600"/>
      <c r="J73" s="600"/>
      <c r="K73" s="600"/>
      <c r="L73" s="600"/>
      <c r="M73" s="600"/>
      <c r="N73" s="600"/>
      <c r="O73" s="600"/>
      <c r="P73" s="600"/>
      <c r="Q73" s="600"/>
      <c r="R73" s="600"/>
      <c r="S73" s="93" t="s">
        <v>491</v>
      </c>
      <c r="U73" s="89"/>
      <c r="V73" s="21"/>
      <c r="AQ73" s="89"/>
    </row>
    <row r="74" spans="1:43" ht="13.15" customHeight="1" x14ac:dyDescent="0.2">
      <c r="A74" s="19" t="s">
        <v>373</v>
      </c>
      <c r="B74" s="60"/>
      <c r="C74" s="610" t="s">
        <v>626</v>
      </c>
      <c r="D74" s="611"/>
      <c r="E74" s="611"/>
      <c r="F74" s="611"/>
      <c r="G74" s="611"/>
      <c r="H74" s="611"/>
      <c r="I74" s="611"/>
      <c r="J74" s="611"/>
      <c r="K74" s="611"/>
      <c r="L74" s="611"/>
      <c r="M74" s="611"/>
      <c r="N74" s="611"/>
      <c r="O74" s="611"/>
      <c r="P74" s="611"/>
      <c r="Q74" s="611"/>
      <c r="R74" s="612"/>
      <c r="S74" s="93" t="s">
        <v>492</v>
      </c>
      <c r="U74" s="89"/>
      <c r="V74" s="21"/>
      <c r="AQ74" s="89"/>
    </row>
    <row r="75" spans="1:43" ht="13.15" customHeight="1" x14ac:dyDescent="0.2">
      <c r="A75" s="19" t="s">
        <v>261</v>
      </c>
      <c r="B75" s="60"/>
      <c r="C75" s="610" t="s">
        <v>321</v>
      </c>
      <c r="D75" s="613"/>
      <c r="E75" s="613"/>
      <c r="F75" s="613"/>
      <c r="G75" s="613"/>
      <c r="H75" s="613"/>
      <c r="I75" s="613"/>
      <c r="J75" s="613"/>
      <c r="K75" s="613"/>
      <c r="L75" s="613"/>
      <c r="M75" s="613"/>
      <c r="N75" s="613"/>
      <c r="O75" s="613"/>
      <c r="P75" s="613"/>
      <c r="Q75" s="613"/>
      <c r="R75" s="614"/>
      <c r="S75" s="93" t="s">
        <v>493</v>
      </c>
      <c r="U75" s="89"/>
      <c r="V75" s="21"/>
      <c r="AQ75" s="89"/>
    </row>
    <row r="76" spans="1:43" ht="13.15" customHeight="1" x14ac:dyDescent="0.2">
      <c r="A76" s="19" t="s">
        <v>262</v>
      </c>
      <c r="B76" s="60"/>
      <c r="C76" s="583" t="s">
        <v>324</v>
      </c>
      <c r="D76" s="600"/>
      <c r="E76" s="600"/>
      <c r="F76" s="600"/>
      <c r="G76" s="600"/>
      <c r="H76" s="600"/>
      <c r="I76" s="600"/>
      <c r="J76" s="600"/>
      <c r="K76" s="600"/>
      <c r="L76" s="600"/>
      <c r="M76" s="600"/>
      <c r="N76" s="600"/>
      <c r="O76" s="600"/>
      <c r="P76" s="600"/>
      <c r="Q76" s="600"/>
      <c r="R76" s="600"/>
      <c r="S76" s="88"/>
      <c r="U76" s="89"/>
      <c r="V76" s="21"/>
      <c r="AQ76" s="89"/>
    </row>
    <row r="77" spans="1:43" ht="13.15" customHeight="1" x14ac:dyDescent="0.2">
      <c r="A77" s="19"/>
      <c r="B77" s="60"/>
      <c r="C77" s="583" t="s">
        <v>228</v>
      </c>
      <c r="D77" s="600"/>
      <c r="E77" s="600"/>
      <c r="F77" s="600"/>
      <c r="G77" s="600"/>
      <c r="H77" s="600"/>
      <c r="I77" s="600"/>
      <c r="J77" s="600"/>
      <c r="K77" s="600"/>
      <c r="L77" s="600"/>
      <c r="M77" s="600"/>
      <c r="N77" s="600"/>
      <c r="O77" s="600"/>
      <c r="P77" s="600"/>
      <c r="Q77" s="600"/>
      <c r="R77" s="600"/>
      <c r="S77" s="88"/>
      <c r="U77" s="89"/>
      <c r="V77" s="21"/>
      <c r="AQ77" s="89"/>
    </row>
    <row r="78" spans="1:43" ht="13.15" customHeight="1" thickBot="1" x14ac:dyDescent="0.25">
      <c r="A78" s="19"/>
      <c r="B78" s="60"/>
      <c r="C78" s="583" t="s">
        <v>270</v>
      </c>
      <c r="D78" s="602"/>
      <c r="E78" s="602"/>
      <c r="F78" s="602"/>
      <c r="G78" s="602"/>
      <c r="H78" s="602"/>
      <c r="I78" s="602"/>
      <c r="J78" s="602"/>
      <c r="K78" s="602"/>
      <c r="L78" s="602"/>
      <c r="M78" s="602"/>
      <c r="N78" s="602"/>
      <c r="O78" s="602"/>
      <c r="P78" s="602"/>
      <c r="Q78" s="602"/>
      <c r="R78" s="602"/>
      <c r="S78" s="326"/>
      <c r="T78" s="143"/>
      <c r="U78" s="144"/>
      <c r="V78" s="21"/>
      <c r="W78" s="143"/>
      <c r="X78" s="143"/>
      <c r="Y78" s="143"/>
      <c r="Z78" s="143"/>
      <c r="AA78" s="143"/>
      <c r="AB78" s="143"/>
      <c r="AC78" s="143"/>
      <c r="AD78" s="143"/>
      <c r="AE78" s="143"/>
      <c r="AF78" s="143"/>
      <c r="AG78" s="143"/>
      <c r="AH78" s="143"/>
      <c r="AI78" s="143"/>
      <c r="AJ78" s="143"/>
      <c r="AK78" s="143"/>
      <c r="AL78" s="143"/>
      <c r="AM78" s="143"/>
      <c r="AN78" s="143"/>
      <c r="AO78" s="143"/>
      <c r="AP78" s="143"/>
      <c r="AQ78" s="89"/>
    </row>
    <row r="79" spans="1:43" ht="13.15" customHeight="1" x14ac:dyDescent="0.2">
      <c r="A79" s="162" t="s">
        <v>209</v>
      </c>
      <c r="B79" s="464"/>
      <c r="C79" s="18" t="s">
        <v>208</v>
      </c>
      <c r="D79" s="16"/>
      <c r="E79" s="18" t="s">
        <v>207</v>
      </c>
      <c r="F79" s="18"/>
      <c r="G79" s="18" t="s">
        <v>206</v>
      </c>
      <c r="H79" s="17" t="e">
        <f>#REF!</f>
        <v>#REF!</v>
      </c>
      <c r="I79" s="16"/>
      <c r="J79" s="16"/>
      <c r="K79" s="16"/>
      <c r="L79" s="16"/>
      <c r="M79" s="16"/>
      <c r="N79" s="16"/>
      <c r="O79" s="16"/>
      <c r="P79" s="16"/>
      <c r="Q79" s="16"/>
      <c r="R79" s="16"/>
      <c r="S79" s="103"/>
      <c r="T79" s="103"/>
      <c r="U79" s="145"/>
      <c r="V79" s="162" t="s">
        <v>209</v>
      </c>
      <c r="W79" s="16"/>
      <c r="X79" s="163"/>
      <c r="Y79" s="18" t="s">
        <v>208</v>
      </c>
      <c r="Z79" s="16"/>
      <c r="AA79" s="18" t="s">
        <v>207</v>
      </c>
      <c r="AB79" s="18"/>
      <c r="AC79" s="18" t="s">
        <v>206</v>
      </c>
      <c r="AD79" s="17" t="e">
        <f>H79</f>
        <v>#REF!</v>
      </c>
      <c r="AE79" s="16"/>
      <c r="AF79" s="16"/>
      <c r="AG79" s="16"/>
      <c r="AH79" s="16"/>
      <c r="AI79" s="16"/>
      <c r="AJ79" s="16"/>
      <c r="AK79" s="16"/>
      <c r="AL79" s="16"/>
      <c r="AM79" s="16"/>
      <c r="AN79" s="103"/>
      <c r="AO79" s="103"/>
      <c r="AP79" s="103"/>
      <c r="AQ79" s="145"/>
    </row>
    <row r="80" spans="1:43" ht="13.15" customHeight="1" thickBot="1" x14ac:dyDescent="0.25">
      <c r="A80" s="159" t="e">
        <f>#REF!</f>
        <v>#REF!</v>
      </c>
      <c r="B80" s="175"/>
      <c r="C80" s="603" t="e">
        <f>#REF!</f>
        <v>#REF!</v>
      </c>
      <c r="D80" s="604"/>
      <c r="E80" s="605" t="e">
        <f>#REF!</f>
        <v>#REF!</v>
      </c>
      <c r="F80" s="606"/>
      <c r="G80" s="15"/>
      <c r="H80" s="14"/>
      <c r="I80" s="14"/>
      <c r="J80" s="14"/>
      <c r="K80" s="14"/>
      <c r="L80" s="14"/>
      <c r="M80" s="14"/>
      <c r="N80" s="14"/>
      <c r="O80" s="14"/>
      <c r="P80" s="14"/>
      <c r="Q80" s="14"/>
      <c r="R80" s="14"/>
      <c r="S80" s="143"/>
      <c r="T80" s="143"/>
      <c r="U80" s="144"/>
      <c r="V80" s="121"/>
      <c r="W80" s="14" t="e">
        <f>A80</f>
        <v>#REF!</v>
      </c>
      <c r="X80" s="164"/>
      <c r="Y80" s="603" t="e">
        <f>C80</f>
        <v>#REF!</v>
      </c>
      <c r="Z80" s="607"/>
      <c r="AA80" s="605" t="e">
        <f>E80</f>
        <v>#REF!</v>
      </c>
      <c r="AB80" s="608"/>
      <c r="AC80" s="15"/>
      <c r="AD80" s="14"/>
      <c r="AE80" s="14"/>
      <c r="AF80" s="14"/>
      <c r="AG80" s="14"/>
      <c r="AH80" s="14"/>
      <c r="AI80" s="14"/>
      <c r="AJ80" s="14"/>
      <c r="AK80" s="14"/>
      <c r="AL80" s="14"/>
      <c r="AM80" s="14"/>
      <c r="AN80" s="143"/>
      <c r="AO80" s="143"/>
      <c r="AP80" s="143"/>
      <c r="AQ80" s="144"/>
    </row>
  </sheetData>
  <mergeCells count="137">
    <mergeCell ref="K36:N36"/>
    <mergeCell ref="E34:J34"/>
    <mergeCell ref="K34:N34"/>
    <mergeCell ref="K17:N18"/>
    <mergeCell ref="E22:J22"/>
    <mergeCell ref="K22:N22"/>
    <mergeCell ref="K29:N29"/>
    <mergeCell ref="K38:N38"/>
    <mergeCell ref="E36:J36"/>
    <mergeCell ref="E59:J59"/>
    <mergeCell ref="E17:J18"/>
    <mergeCell ref="E20:J20"/>
    <mergeCell ref="K20:N20"/>
    <mergeCell ref="K30:N30"/>
    <mergeCell ref="E33:J33"/>
    <mergeCell ref="K33:N33"/>
    <mergeCell ref="E30:J30"/>
    <mergeCell ref="Q30:R30"/>
    <mergeCell ref="Q51:R51"/>
    <mergeCell ref="Q48:R48"/>
    <mergeCell ref="Q45:R45"/>
    <mergeCell ref="Q42:R42"/>
    <mergeCell ref="Q49:R49"/>
    <mergeCell ref="Q46:R46"/>
    <mergeCell ref="Q39:R39"/>
    <mergeCell ref="Q34:R34"/>
    <mergeCell ref="E24:J24"/>
    <mergeCell ref="E29:J29"/>
    <mergeCell ref="K24:N24"/>
    <mergeCell ref="E56:J56"/>
    <mergeCell ref="K56:L56"/>
    <mergeCell ref="Q33:R33"/>
    <mergeCell ref="K35:N35"/>
    <mergeCell ref="Y80:Z80"/>
    <mergeCell ref="AA80:AB80"/>
    <mergeCell ref="S17:U18"/>
    <mergeCell ref="E19:J19"/>
    <mergeCell ref="K19:N19"/>
    <mergeCell ref="Q19:R19"/>
    <mergeCell ref="E21:J21"/>
    <mergeCell ref="K21:N21"/>
    <mergeCell ref="E26:J26"/>
    <mergeCell ref="Q26:R26"/>
    <mergeCell ref="K27:N27"/>
    <mergeCell ref="Q27:R27"/>
    <mergeCell ref="K60:N60"/>
    <mergeCell ref="C78:R78"/>
    <mergeCell ref="C80:D80"/>
    <mergeCell ref="E80:F80"/>
    <mergeCell ref="C77:R77"/>
    <mergeCell ref="C71:R71"/>
    <mergeCell ref="C72:R72"/>
    <mergeCell ref="C73:R73"/>
    <mergeCell ref="C75:R75"/>
    <mergeCell ref="Q22:R22"/>
    <mergeCell ref="Q35:R35"/>
    <mergeCell ref="C76:R76"/>
    <mergeCell ref="A64:R69"/>
    <mergeCell ref="C74:R74"/>
    <mergeCell ref="M7:P7"/>
    <mergeCell ref="C7:D7"/>
    <mergeCell ref="Y7:Z7"/>
    <mergeCell ref="E25:J25"/>
    <mergeCell ref="K25:N25"/>
    <mergeCell ref="Q25:R25"/>
    <mergeCell ref="E60:J60"/>
    <mergeCell ref="Q60:R60"/>
    <mergeCell ref="Q52:R52"/>
    <mergeCell ref="C17:D17"/>
    <mergeCell ref="K59:N59"/>
    <mergeCell ref="Q59:R59"/>
    <mergeCell ref="Q55:R55"/>
    <mergeCell ref="A70:R70"/>
    <mergeCell ref="E58:J58"/>
    <mergeCell ref="K58:N58"/>
    <mergeCell ref="Q58:R58"/>
    <mergeCell ref="Q38:R38"/>
    <mergeCell ref="Q53:R53"/>
    <mergeCell ref="E38:J38"/>
    <mergeCell ref="X61:AD61"/>
    <mergeCell ref="Q20:R20"/>
    <mergeCell ref="AE61:AH61"/>
    <mergeCell ref="AK61:AL61"/>
    <mergeCell ref="AE62:AH62"/>
    <mergeCell ref="AK62:AL62"/>
    <mergeCell ref="X58:AD58"/>
    <mergeCell ref="AE58:AH58"/>
    <mergeCell ref="AK58:AL58"/>
    <mergeCell ref="X59:AD59"/>
    <mergeCell ref="AE59:AH59"/>
    <mergeCell ref="AK59:AL59"/>
    <mergeCell ref="X60:AD60"/>
    <mergeCell ref="AE60:AH60"/>
    <mergeCell ref="AK60:AL60"/>
    <mergeCell ref="Q6:R6"/>
    <mergeCell ref="AM6:AN6"/>
    <mergeCell ref="AI7:AL7"/>
    <mergeCell ref="S39:U40"/>
    <mergeCell ref="C11:R11"/>
    <mergeCell ref="S10:U12"/>
    <mergeCell ref="S15:U16"/>
    <mergeCell ref="V19:V37"/>
    <mergeCell ref="X39:AP39"/>
    <mergeCell ref="X18:AP18"/>
    <mergeCell ref="S29:S38"/>
    <mergeCell ref="E37:J37"/>
    <mergeCell ref="K37:N37"/>
    <mergeCell ref="Q37:R37"/>
    <mergeCell ref="E35:J35"/>
    <mergeCell ref="E27:J27"/>
    <mergeCell ref="O17:O18"/>
    <mergeCell ref="P17:P18"/>
    <mergeCell ref="Q21:R21"/>
    <mergeCell ref="K26:N26"/>
    <mergeCell ref="Q17:R18"/>
    <mergeCell ref="Q36:R36"/>
    <mergeCell ref="Q29:R29"/>
    <mergeCell ref="Q24:R24"/>
    <mergeCell ref="X57:AD57"/>
    <mergeCell ref="AE57:AH57"/>
    <mergeCell ref="AK57:AL57"/>
    <mergeCell ref="W55:W56"/>
    <mergeCell ref="X55:AD56"/>
    <mergeCell ref="AE55:AH56"/>
    <mergeCell ref="AI55:AI56"/>
    <mergeCell ref="AJ55:AJ56"/>
    <mergeCell ref="AK55:AL56"/>
    <mergeCell ref="AM55:AP56"/>
    <mergeCell ref="K55:L55"/>
    <mergeCell ref="M55:N55"/>
    <mergeCell ref="M56:N56"/>
    <mergeCell ref="Q56:R56"/>
    <mergeCell ref="S55:U55"/>
    <mergeCell ref="K39:N39"/>
    <mergeCell ref="K42:N42"/>
    <mergeCell ref="S48:U50"/>
    <mergeCell ref="Q54:R54"/>
  </mergeCells>
  <phoneticPr fontId="5" type="noConversion"/>
  <pageMargins left="0.70866141732283472" right="0.15748031496062992" top="0.51181102362204722" bottom="0.43307086614173229" header="0.27559055118110237" footer="0.27559055118110237"/>
  <pageSetup paperSize="9" scale="75" pageOrder="overThenDown" orientation="portrait" r:id="rId1"/>
  <headerFooter alignWithMargins="0">
    <oddHeader>&amp;LPIRS Vorlagen-Projekt&amp;C&amp;8Project: Template&amp;R&amp;G</oddHeader>
    <oddFooter xml:space="preserve">&amp;L&amp;8 &amp;F _&amp;A&amp;R&amp;8Page &amp;P+8 of [&amp;N+8] </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3411E-C32C-41B8-B510-EE17EC8B1417}">
  <sheetPr codeName="Tabelle29"/>
  <dimension ref="A1:AQ80"/>
  <sheetViews>
    <sheetView showWhiteSpace="0" view="pageLayout" zoomScaleNormal="100" workbookViewId="0">
      <selection activeCell="I4" sqref="I4"/>
    </sheetView>
  </sheetViews>
  <sheetFormatPr defaultColWidth="0" defaultRowHeight="12.75" x14ac:dyDescent="0.2"/>
  <cols>
    <col min="1" max="1" width="14.28515625" style="13" customWidth="1"/>
    <col min="2" max="2" width="3.5703125" style="13" customWidth="1"/>
    <col min="3" max="21" width="5.7109375" style="13" customWidth="1"/>
    <col min="22" max="22" width="4.140625" style="13" customWidth="1"/>
    <col min="23" max="23" width="6.140625" style="13" customWidth="1"/>
    <col min="24" max="42" width="5.7109375" style="13" customWidth="1"/>
    <col min="43" max="59" width="6.140625" style="13" customWidth="1"/>
    <col min="60" max="16384" width="0" style="13" hidden="1"/>
  </cols>
  <sheetData>
    <row r="1" spans="1:43" ht="13.15" customHeight="1" x14ac:dyDescent="0.2">
      <c r="A1" s="73"/>
      <c r="B1" s="72"/>
      <c r="C1" s="72"/>
      <c r="D1" s="71"/>
      <c r="E1" s="16"/>
      <c r="F1" s="16"/>
      <c r="G1" s="16"/>
      <c r="H1" s="539" t="s">
        <v>743</v>
      </c>
      <c r="I1" s="539"/>
      <c r="J1" s="539"/>
      <c r="K1" s="114" t="s">
        <v>253</v>
      </c>
      <c r="L1" s="116"/>
      <c r="M1" s="70"/>
      <c r="N1" s="16"/>
      <c r="O1" s="16"/>
      <c r="P1" s="16" t="s">
        <v>733</v>
      </c>
      <c r="Q1" s="69"/>
      <c r="R1" s="68" t="s">
        <v>230</v>
      </c>
      <c r="S1" s="68"/>
      <c r="T1" s="67" t="s">
        <v>344</v>
      </c>
      <c r="U1" s="66"/>
      <c r="V1" s="162"/>
      <c r="W1" s="16"/>
      <c r="X1" s="72"/>
      <c r="Y1" s="72"/>
      <c r="Z1" s="71"/>
      <c r="AA1" s="16"/>
      <c r="AB1" s="16"/>
      <c r="AC1" s="16"/>
      <c r="AD1" s="16"/>
      <c r="AE1" s="16"/>
      <c r="AF1" s="342"/>
      <c r="AG1" s="230" t="s">
        <v>253</v>
      </c>
      <c r="AH1" s="70"/>
      <c r="AI1" s="16"/>
      <c r="AJ1" s="16"/>
      <c r="AK1" s="16"/>
      <c r="AL1" s="68" t="str">
        <f>P1</f>
        <v>PT02</v>
      </c>
      <c r="AM1" s="69"/>
      <c r="AN1" s="68" t="s">
        <v>230</v>
      </c>
      <c r="AO1" s="68"/>
      <c r="AP1" s="67" t="str">
        <f>T1</f>
        <v>5E0 (1.7335)</v>
      </c>
      <c r="AQ1" s="66"/>
    </row>
    <row r="2" spans="1:43" ht="13.15" customHeight="1" x14ac:dyDescent="0.2">
      <c r="A2" s="63" t="s">
        <v>276</v>
      </c>
      <c r="B2" s="61"/>
      <c r="C2" s="62" t="s">
        <v>730</v>
      </c>
      <c r="D2" s="61"/>
      <c r="E2" s="60"/>
      <c r="F2" s="60"/>
      <c r="G2" s="60"/>
      <c r="H2" s="524" t="s">
        <v>744</v>
      </c>
      <c r="I2" s="524"/>
      <c r="J2" s="530"/>
      <c r="K2" s="100" t="s">
        <v>232</v>
      </c>
      <c r="L2" s="74"/>
      <c r="M2" s="81"/>
      <c r="N2" s="65"/>
      <c r="O2" s="65"/>
      <c r="P2" s="523">
        <v>14.4</v>
      </c>
      <c r="Q2" s="58" t="s">
        <v>231</v>
      </c>
      <c r="R2" s="65" t="s">
        <v>252</v>
      </c>
      <c r="S2" s="65"/>
      <c r="T2" s="81" t="s">
        <v>301</v>
      </c>
      <c r="U2" s="64"/>
      <c r="V2" s="19" t="s">
        <v>276</v>
      </c>
      <c r="W2" s="60"/>
      <c r="X2" s="61"/>
      <c r="Y2" s="62" t="str">
        <f>C2</f>
        <v>Condensate &amp; Steam (T≤450 °C)</v>
      </c>
      <c r="Z2" s="61"/>
      <c r="AA2" s="60"/>
      <c r="AB2" s="60"/>
      <c r="AC2" s="60"/>
      <c r="AD2" s="60"/>
      <c r="AE2" s="60"/>
      <c r="AF2" s="343"/>
      <c r="AG2" s="81" t="s">
        <v>232</v>
      </c>
      <c r="AH2" s="81"/>
      <c r="AI2" s="65"/>
      <c r="AJ2" s="65"/>
      <c r="AK2" s="65"/>
      <c r="AL2" s="523">
        <f>P2</f>
        <v>14.4</v>
      </c>
      <c r="AM2" s="58" t="s">
        <v>231</v>
      </c>
      <c r="AN2" s="65" t="s">
        <v>252</v>
      </c>
      <c r="AO2" s="65"/>
      <c r="AP2" s="81" t="str">
        <f>T2</f>
        <v>EN PN16</v>
      </c>
      <c r="AQ2" s="64"/>
    </row>
    <row r="3" spans="1:43" ht="13.15" customHeight="1" x14ac:dyDescent="0.2">
      <c r="A3" s="63"/>
      <c r="B3" s="61"/>
      <c r="C3" s="62"/>
      <c r="D3" s="61"/>
      <c r="E3" s="60"/>
      <c r="F3" s="60"/>
      <c r="G3" s="60"/>
      <c r="H3" s="524" t="s">
        <v>746</v>
      </c>
      <c r="I3" s="524"/>
      <c r="J3" s="530"/>
      <c r="K3" s="100" t="s">
        <v>233</v>
      </c>
      <c r="L3" s="75"/>
      <c r="M3" s="101"/>
      <c r="N3" s="65"/>
      <c r="O3" s="65"/>
      <c r="P3" s="523">
        <v>450</v>
      </c>
      <c r="Q3" s="58" t="s">
        <v>223</v>
      </c>
      <c r="R3" s="76" t="s">
        <v>229</v>
      </c>
      <c r="S3" s="77"/>
      <c r="T3" s="81" t="s">
        <v>227</v>
      </c>
      <c r="U3" s="57"/>
      <c r="V3" s="51"/>
      <c r="W3" s="80"/>
      <c r="X3" s="61"/>
      <c r="Y3" s="62"/>
      <c r="Z3" s="61"/>
      <c r="AA3" s="60"/>
      <c r="AB3" s="60"/>
      <c r="AC3" s="60"/>
      <c r="AD3" s="60"/>
      <c r="AE3" s="60"/>
      <c r="AF3" s="343"/>
      <c r="AG3" s="81" t="s">
        <v>233</v>
      </c>
      <c r="AH3" s="101"/>
      <c r="AI3" s="65"/>
      <c r="AJ3" s="65"/>
      <c r="AK3" s="65"/>
      <c r="AL3" s="523">
        <f>P3</f>
        <v>450</v>
      </c>
      <c r="AM3" s="58" t="s">
        <v>223</v>
      </c>
      <c r="AN3" s="76" t="s">
        <v>229</v>
      </c>
      <c r="AO3" s="77"/>
      <c r="AP3" s="81" t="s">
        <v>227</v>
      </c>
      <c r="AQ3" s="57"/>
    </row>
    <row r="4" spans="1:43" ht="13.15" customHeight="1" thickBot="1" x14ac:dyDescent="0.25">
      <c r="A4" s="56"/>
      <c r="B4" s="55"/>
      <c r="C4" s="55"/>
      <c r="D4" s="54"/>
      <c r="E4" s="53"/>
      <c r="F4" s="53"/>
      <c r="G4" s="53"/>
      <c r="H4" s="538" t="s">
        <v>745</v>
      </c>
      <c r="I4" s="536"/>
      <c r="J4" s="537"/>
      <c r="K4" s="60" t="s">
        <v>226</v>
      </c>
      <c r="L4" s="81"/>
      <c r="M4" s="102"/>
      <c r="N4" s="60"/>
      <c r="O4" s="60"/>
      <c r="P4" s="524">
        <v>27.4</v>
      </c>
      <c r="Q4" s="58" t="s">
        <v>235</v>
      </c>
      <c r="R4" s="82" t="s">
        <v>234</v>
      </c>
      <c r="S4" s="83"/>
      <c r="T4" s="113" t="s">
        <v>476</v>
      </c>
      <c r="U4" s="79"/>
      <c r="V4" s="119"/>
      <c r="W4" s="166"/>
      <c r="X4" s="55"/>
      <c r="Y4" s="55"/>
      <c r="Z4" s="54"/>
      <c r="AA4" s="53"/>
      <c r="AB4" s="53"/>
      <c r="AC4" s="53"/>
      <c r="AD4" s="14"/>
      <c r="AE4" s="14"/>
      <c r="AF4" s="344"/>
      <c r="AG4" s="60" t="s">
        <v>226</v>
      </c>
      <c r="AH4" s="102"/>
      <c r="AI4" s="60"/>
      <c r="AJ4" s="60"/>
      <c r="AK4" s="60"/>
      <c r="AL4" s="525">
        <f>P4</f>
        <v>27.4</v>
      </c>
      <c r="AM4" s="58" t="s">
        <v>235</v>
      </c>
      <c r="AN4" s="82" t="s">
        <v>234</v>
      </c>
      <c r="AO4" s="83"/>
      <c r="AP4" s="113" t="str">
        <f>T4</f>
        <v>EBDB</v>
      </c>
      <c r="AQ4" s="79"/>
    </row>
    <row r="5" spans="1:43" ht="13.15" customHeight="1" x14ac:dyDescent="0.2">
      <c r="A5" s="51" t="s">
        <v>225</v>
      </c>
      <c r="B5" s="80"/>
      <c r="C5" s="50" t="s">
        <v>224</v>
      </c>
      <c r="D5" s="49" t="s">
        <v>223</v>
      </c>
      <c r="E5" s="48"/>
      <c r="F5" s="47" t="s">
        <v>303</v>
      </c>
      <c r="G5" s="47">
        <v>100</v>
      </c>
      <c r="H5" s="47">
        <v>150</v>
      </c>
      <c r="I5" s="47">
        <v>200</v>
      </c>
      <c r="J5" s="47">
        <v>250</v>
      </c>
      <c r="K5" s="47">
        <v>300</v>
      </c>
      <c r="L5" s="196">
        <v>350</v>
      </c>
      <c r="M5" s="196">
        <v>400</v>
      </c>
      <c r="N5" s="157">
        <v>450</v>
      </c>
      <c r="O5" s="48"/>
      <c r="P5" s="104"/>
      <c r="Q5" s="47"/>
      <c r="R5" s="47"/>
      <c r="S5" s="47"/>
      <c r="T5" s="47"/>
      <c r="U5" s="220"/>
      <c r="V5" s="51" t="s">
        <v>225</v>
      </c>
      <c r="W5" s="80"/>
      <c r="X5" s="80"/>
      <c r="Y5" s="50" t="s">
        <v>224</v>
      </c>
      <c r="Z5" s="49" t="s">
        <v>223</v>
      </c>
      <c r="AA5" s="48"/>
      <c r="AB5" s="47" t="s">
        <v>303</v>
      </c>
      <c r="AC5" s="47">
        <v>100</v>
      </c>
      <c r="AD5" s="47">
        <v>150</v>
      </c>
      <c r="AE5" s="47">
        <v>200</v>
      </c>
      <c r="AF5" s="47">
        <v>250</v>
      </c>
      <c r="AG5" s="47">
        <v>300</v>
      </c>
      <c r="AH5" s="196">
        <v>350</v>
      </c>
      <c r="AI5" s="196">
        <v>400</v>
      </c>
      <c r="AJ5" s="157">
        <v>450</v>
      </c>
      <c r="AK5" s="48"/>
      <c r="AL5" s="104"/>
      <c r="AM5" s="47"/>
      <c r="AN5" s="47"/>
      <c r="AO5" s="47"/>
      <c r="AP5" s="47"/>
      <c r="AQ5" s="220"/>
    </row>
    <row r="6" spans="1:43" ht="20.25" customHeight="1" x14ac:dyDescent="0.2">
      <c r="A6" s="51"/>
      <c r="B6" s="80"/>
      <c r="C6" s="185" t="s">
        <v>285</v>
      </c>
      <c r="D6" s="186" t="s">
        <v>235</v>
      </c>
      <c r="E6" s="187" t="s">
        <v>502</v>
      </c>
      <c r="F6" s="188">
        <v>16</v>
      </c>
      <c r="G6" s="188">
        <v>16</v>
      </c>
      <c r="H6" s="188">
        <v>16</v>
      </c>
      <c r="I6" s="188">
        <v>16</v>
      </c>
      <c r="J6" s="188">
        <v>16</v>
      </c>
      <c r="K6" s="387" t="s">
        <v>610</v>
      </c>
      <c r="L6" s="398" t="s">
        <v>611</v>
      </c>
      <c r="M6" s="398" t="s">
        <v>612</v>
      </c>
      <c r="N6" s="388" t="s">
        <v>731</v>
      </c>
      <c r="O6" s="852" t="s">
        <v>613</v>
      </c>
      <c r="P6" s="687"/>
      <c r="Q6" s="188"/>
      <c r="R6" s="221"/>
      <c r="S6" s="221"/>
      <c r="T6" s="221"/>
      <c r="U6" s="225"/>
      <c r="V6" s="21"/>
      <c r="X6" s="80"/>
      <c r="Y6" s="185" t="s">
        <v>285</v>
      </c>
      <c r="Z6" s="186" t="s">
        <v>235</v>
      </c>
      <c r="AA6" s="187" t="s">
        <v>502</v>
      </c>
      <c r="AB6" s="188">
        <v>16</v>
      </c>
      <c r="AC6" s="188">
        <v>16</v>
      </c>
      <c r="AD6" s="188">
        <v>16</v>
      </c>
      <c r="AE6" s="188">
        <v>16</v>
      </c>
      <c r="AF6" s="188">
        <v>16</v>
      </c>
      <c r="AG6" s="387" t="s">
        <v>610</v>
      </c>
      <c r="AH6" s="398" t="s">
        <v>611</v>
      </c>
      <c r="AI6" s="398" t="s">
        <v>612</v>
      </c>
      <c r="AJ6" s="388" t="s">
        <v>731</v>
      </c>
      <c r="AK6" s="852" t="s">
        <v>613</v>
      </c>
      <c r="AL6" s="687"/>
      <c r="AM6" s="188"/>
      <c r="AN6" s="221"/>
      <c r="AO6" s="221"/>
      <c r="AP6" s="221"/>
      <c r="AQ6" s="225"/>
    </row>
    <row r="7" spans="1:43" ht="12.75" customHeight="1" thickBot="1" x14ac:dyDescent="0.25">
      <c r="A7" s="46"/>
      <c r="B7" s="120"/>
      <c r="C7" s="671" t="s">
        <v>284</v>
      </c>
      <c r="D7" s="672"/>
      <c r="E7" s="45"/>
      <c r="F7" s="673" t="s">
        <v>286</v>
      </c>
      <c r="G7" s="674"/>
      <c r="H7" s="674"/>
      <c r="I7" s="674"/>
      <c r="J7" s="674"/>
      <c r="K7" s="674"/>
      <c r="L7" s="674"/>
      <c r="M7" s="674"/>
      <c r="N7" s="674"/>
      <c r="O7" s="226"/>
      <c r="P7" s="213"/>
      <c r="Q7" s="213"/>
      <c r="R7" s="213"/>
      <c r="S7" s="201"/>
      <c r="T7" s="201"/>
      <c r="U7" s="106"/>
      <c r="V7" s="121"/>
      <c r="W7" s="143"/>
      <c r="X7" s="193"/>
      <c r="Y7" s="671" t="s">
        <v>284</v>
      </c>
      <c r="Z7" s="877"/>
      <c r="AA7" s="45"/>
      <c r="AB7" s="673" t="s">
        <v>286</v>
      </c>
      <c r="AC7" s="674"/>
      <c r="AD7" s="674"/>
      <c r="AE7" s="674"/>
      <c r="AF7" s="674"/>
      <c r="AG7" s="674"/>
      <c r="AH7" s="674"/>
      <c r="AI7" s="674"/>
      <c r="AJ7" s="674"/>
      <c r="AK7" s="226"/>
      <c r="AL7" s="213"/>
      <c r="AM7" s="213"/>
      <c r="AN7" s="213"/>
      <c r="AO7" s="201"/>
      <c r="AP7" s="201"/>
      <c r="AQ7" s="106"/>
    </row>
    <row r="8" spans="1:43" ht="13.15" customHeight="1" x14ac:dyDescent="0.2">
      <c r="A8" s="413" t="s">
        <v>633</v>
      </c>
      <c r="B8" s="158" t="s">
        <v>220</v>
      </c>
      <c r="C8" s="200">
        <v>15</v>
      </c>
      <c r="D8" s="38" t="s">
        <v>648</v>
      </c>
      <c r="E8" s="38">
        <v>25</v>
      </c>
      <c r="F8" s="38" t="s">
        <v>649</v>
      </c>
      <c r="G8" s="38">
        <v>40</v>
      </c>
      <c r="H8" s="38">
        <v>50</v>
      </c>
      <c r="I8" s="38" t="s">
        <v>299</v>
      </c>
      <c r="J8" s="38">
        <v>80</v>
      </c>
      <c r="K8" s="38">
        <v>100</v>
      </c>
      <c r="L8" s="38" t="s">
        <v>300</v>
      </c>
      <c r="M8" s="38">
        <v>150</v>
      </c>
      <c r="N8" s="38">
        <v>200</v>
      </c>
      <c r="O8" s="38">
        <v>250</v>
      </c>
      <c r="P8" s="38">
        <v>300</v>
      </c>
      <c r="Q8" s="38">
        <v>350</v>
      </c>
      <c r="R8" s="78">
        <v>400</v>
      </c>
      <c r="S8" s="38">
        <v>450</v>
      </c>
      <c r="T8" s="38">
        <v>500</v>
      </c>
      <c r="U8" s="37">
        <v>600</v>
      </c>
      <c r="V8" s="702" t="s">
        <v>240</v>
      </c>
      <c r="W8" s="703"/>
      <c r="X8" s="704"/>
      <c r="Y8" s="705"/>
      <c r="Z8" s="158" t="s">
        <v>220</v>
      </c>
      <c r="AA8" s="200">
        <v>700</v>
      </c>
      <c r="AB8" s="38">
        <v>800</v>
      </c>
      <c r="AC8" s="38">
        <v>914</v>
      </c>
      <c r="AD8" s="103"/>
      <c r="AE8" s="103"/>
      <c r="AF8" s="103"/>
      <c r="AG8" s="103"/>
      <c r="AH8" s="103"/>
      <c r="AI8" s="103"/>
      <c r="AJ8" s="103"/>
      <c r="AK8" s="103"/>
      <c r="AL8" s="103"/>
      <c r="AM8" s="103"/>
      <c r="AN8" s="103"/>
      <c r="AO8" s="103"/>
      <c r="AP8" s="103"/>
      <c r="AQ8" s="145"/>
    </row>
    <row r="9" spans="1:43" ht="13.15" customHeight="1" x14ac:dyDescent="0.2">
      <c r="A9" s="416" t="s">
        <v>634</v>
      </c>
      <c r="B9" s="293" t="s">
        <v>222</v>
      </c>
      <c r="C9" s="476"/>
      <c r="D9" s="42"/>
      <c r="E9" s="34"/>
      <c r="F9" s="34"/>
      <c r="G9" s="34"/>
      <c r="H9" s="34"/>
      <c r="I9" s="34"/>
      <c r="J9" s="34"/>
      <c r="K9" s="34"/>
      <c r="L9" s="34"/>
      <c r="M9" s="34"/>
      <c r="N9" s="34"/>
      <c r="O9" s="34">
        <v>273</v>
      </c>
      <c r="P9" s="34">
        <v>323.89999999999998</v>
      </c>
      <c r="Q9" s="34">
        <v>355.6</v>
      </c>
      <c r="R9" s="34">
        <v>406.4</v>
      </c>
      <c r="S9" s="34">
        <v>457</v>
      </c>
      <c r="T9" s="34">
        <v>508</v>
      </c>
      <c r="U9" s="41">
        <v>610</v>
      </c>
      <c r="V9" s="706" t="s">
        <v>237</v>
      </c>
      <c r="W9" s="600"/>
      <c r="X9" s="547"/>
      <c r="Y9" s="548"/>
      <c r="Z9" s="293" t="s">
        <v>222</v>
      </c>
      <c r="AA9" s="35">
        <v>711</v>
      </c>
      <c r="AB9" s="34">
        <v>813</v>
      </c>
      <c r="AC9" s="34">
        <v>48.3</v>
      </c>
      <c r="AQ9" s="89"/>
    </row>
    <row r="10" spans="1:43" ht="13.15" customHeight="1" x14ac:dyDescent="0.2">
      <c r="A10" s="417" t="s">
        <v>635</v>
      </c>
      <c r="B10" s="294" t="s">
        <v>222</v>
      </c>
      <c r="C10" s="477"/>
      <c r="D10" s="33"/>
      <c r="E10" s="239"/>
      <c r="F10" s="239"/>
      <c r="G10" s="239"/>
      <c r="H10" s="239"/>
      <c r="I10" s="239"/>
      <c r="J10" s="239"/>
      <c r="K10" s="239"/>
      <c r="L10" s="239"/>
      <c r="M10" s="239"/>
      <c r="N10" s="239"/>
      <c r="O10" s="239">
        <v>6.3</v>
      </c>
      <c r="P10" s="239">
        <v>7.1</v>
      </c>
      <c r="Q10" s="239">
        <v>8</v>
      </c>
      <c r="R10" s="239">
        <v>8.8000000000000007</v>
      </c>
      <c r="S10" s="240">
        <v>10</v>
      </c>
      <c r="T10" s="239">
        <v>11</v>
      </c>
      <c r="U10" s="241">
        <v>12.5</v>
      </c>
      <c r="V10" s="711" t="s">
        <v>293</v>
      </c>
      <c r="W10" s="712"/>
      <c r="X10" s="547"/>
      <c r="Y10" s="548"/>
      <c r="Z10" s="294" t="s">
        <v>222</v>
      </c>
      <c r="AA10" s="238"/>
      <c r="AB10" s="239"/>
      <c r="AC10" s="239"/>
      <c r="AQ10" s="89"/>
    </row>
    <row r="11" spans="1:43" ht="13.15" customHeight="1" x14ac:dyDescent="0.2">
      <c r="A11" s="84" t="s">
        <v>636</v>
      </c>
      <c r="B11" s="295" t="s">
        <v>236</v>
      </c>
      <c r="C11" s="736" t="s">
        <v>302</v>
      </c>
      <c r="D11" s="737"/>
      <c r="E11" s="737"/>
      <c r="F11" s="737"/>
      <c r="G11" s="737"/>
      <c r="H11" s="737"/>
      <c r="I11" s="737"/>
      <c r="J11" s="737"/>
      <c r="K11" s="737"/>
      <c r="L11" s="737"/>
      <c r="M11" s="737"/>
      <c r="N11" s="737"/>
      <c r="O11" s="737"/>
      <c r="P11" s="737"/>
      <c r="Q11" s="737"/>
      <c r="R11" s="737"/>
      <c r="S11" s="737"/>
      <c r="T11" s="737"/>
      <c r="U11" s="738"/>
      <c r="V11" s="84" t="s">
        <v>239</v>
      </c>
      <c r="W11" s="85"/>
      <c r="Z11" s="295" t="s">
        <v>236</v>
      </c>
      <c r="AC11" s="335"/>
      <c r="AQ11" s="89"/>
    </row>
    <row r="12" spans="1:43" ht="13.15" customHeight="1" thickBot="1" x14ac:dyDescent="0.25">
      <c r="A12" s="419" t="s">
        <v>637</v>
      </c>
      <c r="B12" s="296" t="s">
        <v>222</v>
      </c>
      <c r="C12" s="39">
        <f>C9-2*C10</f>
        <v>0</v>
      </c>
      <c r="D12" s="39">
        <f>D9-2*D10</f>
        <v>0</v>
      </c>
      <c r="E12" s="39">
        <f>E9-2*E10</f>
        <v>0</v>
      </c>
      <c r="F12" s="39">
        <f t="shared" ref="F12:U12" si="0">F9-2*F10</f>
        <v>0</v>
      </c>
      <c r="G12" s="39">
        <f t="shared" si="0"/>
        <v>0</v>
      </c>
      <c r="H12" s="39">
        <f t="shared" si="0"/>
        <v>0</v>
      </c>
      <c r="I12" s="39">
        <f t="shared" si="0"/>
        <v>0</v>
      </c>
      <c r="J12" s="39">
        <f t="shared" si="0"/>
        <v>0</v>
      </c>
      <c r="K12" s="39">
        <f t="shared" si="0"/>
        <v>0</v>
      </c>
      <c r="L12" s="39">
        <f t="shared" si="0"/>
        <v>0</v>
      </c>
      <c r="M12" s="39">
        <f t="shared" si="0"/>
        <v>0</v>
      </c>
      <c r="N12" s="39">
        <f t="shared" si="0"/>
        <v>0</v>
      </c>
      <c r="O12" s="39">
        <f t="shared" si="0"/>
        <v>260.39999999999998</v>
      </c>
      <c r="P12" s="39">
        <f t="shared" si="0"/>
        <v>309.7</v>
      </c>
      <c r="Q12" s="39">
        <f t="shared" si="0"/>
        <v>339.6</v>
      </c>
      <c r="R12" s="39">
        <f t="shared" si="0"/>
        <v>388.79999999999995</v>
      </c>
      <c r="S12" s="39">
        <f t="shared" si="0"/>
        <v>437</v>
      </c>
      <c r="T12" s="39">
        <f t="shared" si="0"/>
        <v>486</v>
      </c>
      <c r="U12" s="87">
        <f t="shared" si="0"/>
        <v>585</v>
      </c>
      <c r="V12" s="711" t="s">
        <v>238</v>
      </c>
      <c r="W12" s="712"/>
      <c r="X12" s="547"/>
      <c r="Y12" s="548"/>
      <c r="Z12" s="296" t="s">
        <v>222</v>
      </c>
      <c r="AA12" s="40"/>
      <c r="AB12" s="39"/>
      <c r="AC12" s="39"/>
      <c r="AQ12" s="89"/>
    </row>
    <row r="13" spans="1:43" ht="13.15" customHeight="1" x14ac:dyDescent="0.2">
      <c r="A13" s="413" t="s">
        <v>638</v>
      </c>
      <c r="B13" s="158" t="s">
        <v>220</v>
      </c>
      <c r="C13" s="200">
        <v>15</v>
      </c>
      <c r="D13" s="38" t="s">
        <v>648</v>
      </c>
      <c r="E13" s="38">
        <v>25</v>
      </c>
      <c r="F13" s="38" t="s">
        <v>649</v>
      </c>
      <c r="G13" s="38">
        <v>40</v>
      </c>
      <c r="H13" s="38">
        <v>50</v>
      </c>
      <c r="I13" s="38" t="s">
        <v>299</v>
      </c>
      <c r="J13" s="38">
        <v>80</v>
      </c>
      <c r="K13" s="38">
        <v>100</v>
      </c>
      <c r="L13" s="38" t="s">
        <v>300</v>
      </c>
      <c r="M13" s="38">
        <v>150</v>
      </c>
      <c r="N13" s="38">
        <v>200</v>
      </c>
      <c r="O13" s="38">
        <v>250</v>
      </c>
      <c r="P13" s="38">
        <v>300</v>
      </c>
      <c r="Q13" s="38">
        <v>350</v>
      </c>
      <c r="R13" s="78">
        <v>400</v>
      </c>
      <c r="S13" s="38">
        <v>450</v>
      </c>
      <c r="T13" s="38">
        <v>500</v>
      </c>
      <c r="U13" s="37">
        <v>600</v>
      </c>
      <c r="V13" s="702" t="s">
        <v>254</v>
      </c>
      <c r="W13" s="703"/>
      <c r="X13" s="704"/>
      <c r="Y13" s="705"/>
      <c r="Z13" s="158" t="s">
        <v>220</v>
      </c>
      <c r="AA13" s="44">
        <v>15</v>
      </c>
      <c r="AB13" s="43">
        <v>25</v>
      </c>
      <c r="AC13" s="43">
        <v>40</v>
      </c>
      <c r="AQ13" s="89"/>
    </row>
    <row r="14" spans="1:43" ht="13.15" customHeight="1" x14ac:dyDescent="0.2">
      <c r="A14" s="416" t="s">
        <v>639</v>
      </c>
      <c r="B14" s="297" t="s">
        <v>222</v>
      </c>
      <c r="C14" s="476"/>
      <c r="D14" s="36"/>
      <c r="E14" s="34"/>
      <c r="F14" s="34"/>
      <c r="G14" s="34"/>
      <c r="H14" s="34"/>
      <c r="I14" s="34"/>
      <c r="J14" s="34"/>
      <c r="K14" s="34"/>
      <c r="L14" s="34"/>
      <c r="M14" s="34"/>
      <c r="N14" s="34"/>
      <c r="O14" s="34">
        <v>273</v>
      </c>
      <c r="P14" s="34">
        <v>323.89999999999998</v>
      </c>
      <c r="Q14" s="34">
        <v>355.6</v>
      </c>
      <c r="R14" s="34">
        <v>406.4</v>
      </c>
      <c r="S14" s="34">
        <v>457</v>
      </c>
      <c r="T14" s="34">
        <v>508</v>
      </c>
      <c r="U14" s="41">
        <v>610</v>
      </c>
      <c r="V14" s="706" t="s">
        <v>255</v>
      </c>
      <c r="W14" s="600"/>
      <c r="X14" s="547"/>
      <c r="Y14" s="548"/>
      <c r="Z14" s="297" t="s">
        <v>222</v>
      </c>
      <c r="AA14" s="35">
        <v>711</v>
      </c>
      <c r="AB14" s="34">
        <v>813</v>
      </c>
      <c r="AC14" s="34">
        <v>914</v>
      </c>
      <c r="AQ14" s="89"/>
    </row>
    <row r="15" spans="1:43" ht="13.15" customHeight="1" x14ac:dyDescent="0.2">
      <c r="A15" s="417" t="s">
        <v>640</v>
      </c>
      <c r="B15" s="294" t="s">
        <v>222</v>
      </c>
      <c r="C15" s="477"/>
      <c r="D15" s="33"/>
      <c r="E15" s="239"/>
      <c r="F15" s="239"/>
      <c r="G15" s="239"/>
      <c r="H15" s="239"/>
      <c r="I15" s="239"/>
      <c r="J15" s="239"/>
      <c r="K15" s="239"/>
      <c r="L15" s="239"/>
      <c r="M15" s="239"/>
      <c r="N15" s="239"/>
      <c r="O15" s="239">
        <v>6.3</v>
      </c>
      <c r="P15" s="239">
        <v>7.1</v>
      </c>
      <c r="Q15" s="239">
        <v>8</v>
      </c>
      <c r="R15" s="239">
        <v>8.8000000000000007</v>
      </c>
      <c r="S15" s="240">
        <v>10</v>
      </c>
      <c r="T15" s="239">
        <v>11</v>
      </c>
      <c r="U15" s="241">
        <v>12.5</v>
      </c>
      <c r="V15" s="880" t="s">
        <v>294</v>
      </c>
      <c r="W15" s="881"/>
      <c r="X15" s="809"/>
      <c r="Y15" s="882"/>
      <c r="Z15" s="86" t="s">
        <v>236</v>
      </c>
      <c r="AA15" s="323"/>
      <c r="AB15" s="324"/>
      <c r="AC15" s="324"/>
      <c r="AQ15" s="89"/>
    </row>
    <row r="16" spans="1:43" ht="13.15" customHeight="1" thickBot="1" x14ac:dyDescent="0.25">
      <c r="A16" s="419" t="s">
        <v>641</v>
      </c>
      <c r="B16" s="296" t="s">
        <v>222</v>
      </c>
      <c r="C16" s="475"/>
      <c r="D16" s="32"/>
      <c r="E16" s="479"/>
      <c r="F16" s="314"/>
      <c r="G16" s="314"/>
      <c r="H16" s="314"/>
      <c r="I16" s="314"/>
      <c r="J16" s="314"/>
      <c r="K16" s="314"/>
      <c r="L16" s="314"/>
      <c r="M16" s="314"/>
      <c r="N16" s="314"/>
      <c r="O16" s="317">
        <v>2</v>
      </c>
      <c r="P16" s="317">
        <v>2</v>
      </c>
      <c r="Q16" s="317">
        <v>2</v>
      </c>
      <c r="R16" s="317">
        <v>2</v>
      </c>
      <c r="S16" s="317">
        <v>2</v>
      </c>
      <c r="T16" s="317">
        <v>3</v>
      </c>
      <c r="U16" s="318">
        <v>3</v>
      </c>
      <c r="V16" s="732" t="s">
        <v>457</v>
      </c>
      <c r="W16" s="733"/>
      <c r="X16" s="734"/>
      <c r="Y16" s="735"/>
      <c r="Z16" s="32" t="s">
        <v>236</v>
      </c>
      <c r="AA16" s="316"/>
      <c r="AB16" s="317"/>
      <c r="AC16" s="317"/>
      <c r="AO16"/>
      <c r="AQ16" s="89"/>
    </row>
    <row r="17" spans="1:43" ht="13.15" customHeight="1" x14ac:dyDescent="0.2">
      <c r="A17" s="31" t="s">
        <v>221</v>
      </c>
      <c r="B17" s="422"/>
      <c r="C17" s="631" t="s">
        <v>220</v>
      </c>
      <c r="D17" s="632"/>
      <c r="E17" s="633" t="s">
        <v>197</v>
      </c>
      <c r="F17" s="634"/>
      <c r="G17" s="634"/>
      <c r="H17" s="634"/>
      <c r="I17" s="634"/>
      <c r="J17" s="634"/>
      <c r="K17" s="635" t="s">
        <v>241</v>
      </c>
      <c r="L17" s="634"/>
      <c r="M17" s="634"/>
      <c r="N17" s="636"/>
      <c r="O17" s="656" t="s">
        <v>243</v>
      </c>
      <c r="P17" s="656" t="s">
        <v>242</v>
      </c>
      <c r="Q17" s="637" t="s">
        <v>244</v>
      </c>
      <c r="R17" s="638"/>
      <c r="S17" s="633" t="s">
        <v>245</v>
      </c>
      <c r="T17" s="639"/>
      <c r="U17" s="640"/>
      <c r="V17" s="263"/>
      <c r="AO17"/>
      <c r="AQ17" s="89"/>
    </row>
    <row r="18" spans="1:43" ht="13.15" customHeight="1" x14ac:dyDescent="0.2">
      <c r="A18" s="20"/>
      <c r="B18" s="424"/>
      <c r="C18" s="30" t="s">
        <v>219</v>
      </c>
      <c r="D18" s="30" t="s">
        <v>218</v>
      </c>
      <c r="E18" s="554"/>
      <c r="F18" s="555"/>
      <c r="G18" s="555"/>
      <c r="H18" s="555"/>
      <c r="I18" s="555"/>
      <c r="J18" s="555"/>
      <c r="K18" s="558"/>
      <c r="L18" s="555"/>
      <c r="M18" s="555"/>
      <c r="N18" s="556"/>
      <c r="O18" s="555"/>
      <c r="P18" s="555"/>
      <c r="Q18" s="555"/>
      <c r="R18" s="555"/>
      <c r="S18" s="641"/>
      <c r="T18" s="642"/>
      <c r="U18" s="643"/>
      <c r="V18" s="264"/>
      <c r="W18" s="168"/>
      <c r="X18" s="659" t="s">
        <v>288</v>
      </c>
      <c r="Y18" s="670"/>
      <c r="Z18" s="670"/>
      <c r="AA18" s="670"/>
      <c r="AB18" s="670"/>
      <c r="AC18" s="670"/>
      <c r="AD18" s="670"/>
      <c r="AE18" s="670"/>
      <c r="AF18" s="670"/>
      <c r="AG18" s="670"/>
      <c r="AH18" s="670"/>
      <c r="AI18" s="670"/>
      <c r="AJ18" s="670"/>
      <c r="AK18" s="670"/>
      <c r="AL18" s="670"/>
      <c r="AM18" s="670"/>
      <c r="AN18" s="670"/>
      <c r="AO18" s="660"/>
      <c r="AP18" s="660"/>
      <c r="AQ18" s="89"/>
    </row>
    <row r="19" spans="1:43" ht="13.15" customHeight="1" x14ac:dyDescent="0.2">
      <c r="A19" s="19" t="s">
        <v>217</v>
      </c>
      <c r="B19" s="60"/>
      <c r="C19" s="24">
        <v>250</v>
      </c>
      <c r="D19" s="24">
        <v>600</v>
      </c>
      <c r="E19" s="583" t="s">
        <v>496</v>
      </c>
      <c r="F19" s="549"/>
      <c r="G19" s="549"/>
      <c r="H19" s="549"/>
      <c r="I19" s="549"/>
      <c r="J19" s="550"/>
      <c r="K19" s="564" t="s">
        <v>538</v>
      </c>
      <c r="L19" s="855"/>
      <c r="M19" s="855"/>
      <c r="N19" s="856"/>
      <c r="O19" s="97" t="s">
        <v>236</v>
      </c>
      <c r="P19" s="97" t="s">
        <v>484</v>
      </c>
      <c r="Q19" s="651" t="s">
        <v>304</v>
      </c>
      <c r="R19" s="626"/>
      <c r="S19" s="93"/>
      <c r="U19" s="89"/>
      <c r="V19" s="657" t="s">
        <v>274</v>
      </c>
      <c r="W19" s="1">
        <v>15</v>
      </c>
      <c r="X19" s="136"/>
      <c r="Y19" s="137"/>
      <c r="Z19" s="137"/>
      <c r="AA19" s="137"/>
      <c r="AB19" s="137"/>
      <c r="AC19" s="137"/>
      <c r="AD19" s="137"/>
      <c r="AE19" s="137"/>
      <c r="AF19" s="137"/>
      <c r="AG19" s="137"/>
      <c r="AH19" s="137"/>
      <c r="AI19" s="137"/>
      <c r="AJ19" s="137"/>
      <c r="AK19" s="137"/>
      <c r="AL19" s="138"/>
      <c r="AM19" s="138"/>
      <c r="AQ19" s="89"/>
    </row>
    <row r="20" spans="1:43" ht="13.15" customHeight="1" x14ac:dyDescent="0.2">
      <c r="A20" s="19"/>
      <c r="B20" s="60"/>
      <c r="C20" s="24">
        <v>700</v>
      </c>
      <c r="D20" s="24"/>
      <c r="E20" s="583" t="s">
        <v>494</v>
      </c>
      <c r="F20" s="549"/>
      <c r="G20" s="549"/>
      <c r="H20" s="549"/>
      <c r="I20" s="549"/>
      <c r="J20" s="550"/>
      <c r="K20" s="584" t="s">
        <v>538</v>
      </c>
      <c r="L20" s="857"/>
      <c r="M20" s="857"/>
      <c r="N20" s="858"/>
      <c r="O20" s="98" t="s">
        <v>236</v>
      </c>
      <c r="P20" s="98" t="s">
        <v>484</v>
      </c>
      <c r="Q20" s="585" t="s">
        <v>376</v>
      </c>
      <c r="R20" s="545"/>
      <c r="S20" s="93"/>
      <c r="U20" s="89"/>
      <c r="V20" s="658"/>
      <c r="W20" s="227" t="s">
        <v>642</v>
      </c>
      <c r="X20" s="136"/>
      <c r="Y20" s="136"/>
      <c r="Z20" s="136"/>
      <c r="AA20" s="137"/>
      <c r="AB20" s="137"/>
      <c r="AC20" s="137"/>
      <c r="AD20" s="137"/>
      <c r="AE20" s="137"/>
      <c r="AF20" s="137"/>
      <c r="AG20" s="137"/>
      <c r="AH20" s="137"/>
      <c r="AI20" s="137"/>
      <c r="AJ20" s="137"/>
      <c r="AK20" s="137"/>
      <c r="AL20" s="137"/>
      <c r="AM20" s="138"/>
      <c r="AN20" s="138"/>
      <c r="AO20"/>
      <c r="AQ20" s="89"/>
    </row>
    <row r="21" spans="1:43" ht="13.15" customHeight="1" x14ac:dyDescent="0.2">
      <c r="A21" s="19"/>
      <c r="B21" s="60"/>
      <c r="C21" s="24"/>
      <c r="D21" s="24"/>
      <c r="E21" s="583"/>
      <c r="F21" s="549"/>
      <c r="G21" s="549"/>
      <c r="H21" s="549"/>
      <c r="I21" s="549"/>
      <c r="J21" s="550"/>
      <c r="K21" s="584"/>
      <c r="L21" s="549"/>
      <c r="M21" s="549"/>
      <c r="N21" s="550"/>
      <c r="O21" s="98"/>
      <c r="P21" s="98"/>
      <c r="Q21" s="652"/>
      <c r="R21" s="586"/>
      <c r="S21" s="88"/>
      <c r="U21" s="89"/>
      <c r="V21" s="658"/>
      <c r="W21" s="118">
        <v>25</v>
      </c>
      <c r="X21" s="136"/>
      <c r="Y21" s="136"/>
      <c r="Z21" s="136"/>
      <c r="AA21" s="137"/>
      <c r="AB21" s="137"/>
      <c r="AC21" s="137"/>
      <c r="AD21" s="137"/>
      <c r="AE21" s="137"/>
      <c r="AF21" s="137"/>
      <c r="AG21" s="137"/>
      <c r="AH21" s="137"/>
      <c r="AI21" s="137"/>
      <c r="AJ21" s="137"/>
      <c r="AK21" s="137"/>
      <c r="AL21" s="137"/>
      <c r="AM21" s="138"/>
      <c r="AN21" s="138"/>
      <c r="AO21"/>
      <c r="AQ21" s="89"/>
    </row>
    <row r="22" spans="1:43" ht="13.15" customHeight="1" x14ac:dyDescent="0.2">
      <c r="A22" s="19"/>
      <c r="B22" s="60"/>
      <c r="C22" s="24"/>
      <c r="D22" s="24"/>
      <c r="E22" s="155"/>
      <c r="F22" s="160"/>
      <c r="G22" s="160"/>
      <c r="H22" s="160"/>
      <c r="I22" s="160"/>
      <c r="J22" s="181"/>
      <c r="K22" s="182"/>
      <c r="L22" s="160"/>
      <c r="M22" s="160"/>
      <c r="N22" s="181"/>
      <c r="O22" s="98"/>
      <c r="P22" s="98"/>
      <c r="Q22" s="183"/>
      <c r="R22" s="161"/>
      <c r="S22" s="88"/>
      <c r="U22" s="89"/>
      <c r="V22" s="658"/>
      <c r="W22" s="227" t="s">
        <v>643</v>
      </c>
      <c r="X22" s="136"/>
      <c r="Y22" s="136"/>
      <c r="Z22" s="136"/>
      <c r="AA22" s="136"/>
      <c r="AB22" s="136"/>
      <c r="AC22" s="137"/>
      <c r="AD22" s="137"/>
      <c r="AE22" s="137"/>
      <c r="AF22" s="137"/>
      <c r="AG22" s="137"/>
      <c r="AH22" s="137"/>
      <c r="AI22" s="137"/>
      <c r="AJ22" s="137"/>
      <c r="AK22" s="137"/>
      <c r="AL22" s="137"/>
      <c r="AM22" s="137"/>
      <c r="AN22" s="138"/>
      <c r="AO22" s="138"/>
      <c r="AP22"/>
      <c r="AQ22" s="89"/>
    </row>
    <row r="23" spans="1:43" ht="13.15" customHeight="1" x14ac:dyDescent="0.2">
      <c r="A23" s="19"/>
      <c r="B23" s="60"/>
      <c r="C23" s="24"/>
      <c r="D23" s="24"/>
      <c r="E23" s="155"/>
      <c r="F23" s="160"/>
      <c r="G23" s="160"/>
      <c r="H23" s="160"/>
      <c r="I23" s="160"/>
      <c r="J23" s="181"/>
      <c r="K23" s="182"/>
      <c r="L23" s="160"/>
      <c r="M23" s="160"/>
      <c r="N23" s="181"/>
      <c r="O23" s="98"/>
      <c r="P23" s="98"/>
      <c r="Q23" s="183"/>
      <c r="R23" s="161"/>
      <c r="S23" s="88"/>
      <c r="U23" s="89"/>
      <c r="V23" s="658"/>
      <c r="W23" s="118">
        <v>40</v>
      </c>
      <c r="X23" s="136"/>
      <c r="Y23" s="136"/>
      <c r="Z23" s="136"/>
      <c r="AA23" s="136"/>
      <c r="AB23" s="136"/>
      <c r="AC23" s="137"/>
      <c r="AD23" s="137"/>
      <c r="AE23" s="137"/>
      <c r="AF23" s="137"/>
      <c r="AG23" s="137"/>
      <c r="AH23" s="137"/>
      <c r="AI23" s="137"/>
      <c r="AJ23" s="137"/>
      <c r="AK23" s="137"/>
      <c r="AL23" s="137"/>
      <c r="AM23" s="137"/>
      <c r="AN23" s="138"/>
      <c r="AO23" s="138"/>
      <c r="AP23"/>
      <c r="AQ23" s="89"/>
    </row>
    <row r="24" spans="1:43" ht="13.15" customHeight="1" x14ac:dyDescent="0.2">
      <c r="A24" s="26" t="s">
        <v>298</v>
      </c>
      <c r="B24" s="435"/>
      <c r="C24" s="29">
        <v>15</v>
      </c>
      <c r="D24" s="25">
        <v>50</v>
      </c>
      <c r="E24" s="653"/>
      <c r="F24" s="654"/>
      <c r="G24" s="654"/>
      <c r="H24" s="654"/>
      <c r="I24" s="654"/>
      <c r="J24" s="655"/>
      <c r="K24" s="699"/>
      <c r="L24" s="654"/>
      <c r="M24" s="654"/>
      <c r="N24" s="655"/>
      <c r="O24" s="97"/>
      <c r="P24" s="97"/>
      <c r="Q24" s="697"/>
      <c r="R24" s="701"/>
      <c r="S24" s="90"/>
      <c r="T24" s="91"/>
      <c r="U24" s="92"/>
      <c r="V24" s="658"/>
      <c r="W24" s="1">
        <v>50</v>
      </c>
      <c r="X24" s="136"/>
      <c r="Y24" s="136"/>
      <c r="Z24" s="136"/>
      <c r="AA24" s="136"/>
      <c r="AB24" s="136"/>
      <c r="AC24" s="136"/>
      <c r="AD24" s="137"/>
      <c r="AE24" s="137"/>
      <c r="AF24" s="137"/>
      <c r="AG24" s="137"/>
      <c r="AH24" s="137"/>
      <c r="AI24" s="137"/>
      <c r="AJ24" s="137"/>
      <c r="AK24" s="137"/>
      <c r="AL24" s="137"/>
      <c r="AM24" s="137"/>
      <c r="AN24" s="138"/>
      <c r="AO24" s="138"/>
      <c r="AP24"/>
      <c r="AQ24" s="89"/>
    </row>
    <row r="25" spans="1:43" ht="13.15" customHeight="1" x14ac:dyDescent="0.2">
      <c r="A25" s="19" t="s">
        <v>297</v>
      </c>
      <c r="B25" s="60"/>
      <c r="C25" s="235">
        <v>250</v>
      </c>
      <c r="D25" s="242">
        <v>600</v>
      </c>
      <c r="E25" s="644" t="s">
        <v>503</v>
      </c>
      <c r="F25" s="645"/>
      <c r="G25" s="645"/>
      <c r="H25" s="645"/>
      <c r="I25" s="645"/>
      <c r="J25" s="646"/>
      <c r="K25" s="700" t="s">
        <v>679</v>
      </c>
      <c r="L25" s="645"/>
      <c r="M25" s="645"/>
      <c r="N25" s="646"/>
      <c r="O25" s="188" t="s">
        <v>236</v>
      </c>
      <c r="P25" s="188" t="s">
        <v>246</v>
      </c>
      <c r="Q25" s="647" t="s">
        <v>306</v>
      </c>
      <c r="R25" s="723"/>
      <c r="S25" s="93"/>
      <c r="U25" s="89"/>
      <c r="V25" s="658"/>
      <c r="W25" s="227" t="s">
        <v>295</v>
      </c>
      <c r="X25" s="136"/>
      <c r="Y25" s="136"/>
      <c r="Z25" s="136"/>
      <c r="AA25" s="136"/>
      <c r="AB25" s="136"/>
      <c r="AC25" s="136"/>
      <c r="AD25" s="136"/>
      <c r="AE25" s="147"/>
      <c r="AF25" s="137"/>
      <c r="AG25" s="137"/>
      <c r="AH25" s="137"/>
      <c r="AI25" s="137"/>
      <c r="AJ25" s="137"/>
      <c r="AK25" s="137"/>
      <c r="AL25" s="137"/>
      <c r="AM25" s="137"/>
      <c r="AN25" s="137"/>
      <c r="AO25" s="138"/>
      <c r="AP25" s="138"/>
      <c r="AQ25" s="89"/>
    </row>
    <row r="26" spans="1:43" ht="13.15" customHeight="1" x14ac:dyDescent="0.2">
      <c r="A26" s="19"/>
      <c r="B26" s="60"/>
      <c r="C26" s="24"/>
      <c r="D26" s="23"/>
      <c r="E26" s="155"/>
      <c r="F26" s="160"/>
      <c r="G26" s="160"/>
      <c r="H26" s="160"/>
      <c r="I26" s="160"/>
      <c r="J26" s="181"/>
      <c r="K26" s="182"/>
      <c r="L26" s="160"/>
      <c r="M26" s="160"/>
      <c r="N26" s="181"/>
      <c r="O26" s="98"/>
      <c r="P26" s="98"/>
      <c r="Q26" s="183"/>
      <c r="R26" s="161"/>
      <c r="S26" s="88"/>
      <c r="U26" s="89"/>
      <c r="V26" s="658"/>
      <c r="W26" s="1">
        <v>80</v>
      </c>
      <c r="X26" s="136"/>
      <c r="Y26" s="136"/>
      <c r="Z26" s="136"/>
      <c r="AA26" s="136"/>
      <c r="AB26" s="136"/>
      <c r="AC26" s="136"/>
      <c r="AD26" s="136"/>
      <c r="AE26" s="136"/>
      <c r="AF26" s="137"/>
      <c r="AG26" s="137"/>
      <c r="AH26" s="137"/>
      <c r="AI26" s="137"/>
      <c r="AJ26" s="137"/>
      <c r="AK26" s="137"/>
      <c r="AL26" s="137"/>
      <c r="AM26" s="137"/>
      <c r="AN26" s="137"/>
      <c r="AO26" s="138"/>
      <c r="AP26" s="138"/>
      <c r="AQ26" s="89"/>
    </row>
    <row r="27" spans="1:43" ht="13.15" customHeight="1" x14ac:dyDescent="0.2">
      <c r="A27" s="19"/>
      <c r="B27" s="60"/>
      <c r="C27" s="24"/>
      <c r="D27" s="23"/>
      <c r="E27" s="155"/>
      <c r="F27" s="160"/>
      <c r="G27" s="160"/>
      <c r="H27" s="160"/>
      <c r="I27" s="160"/>
      <c r="J27" s="181"/>
      <c r="K27" s="182"/>
      <c r="L27" s="160"/>
      <c r="M27" s="160"/>
      <c r="N27" s="181"/>
      <c r="O27" s="98"/>
      <c r="P27" s="98"/>
      <c r="Q27" s="183"/>
      <c r="R27" s="161"/>
      <c r="S27" s="93"/>
      <c r="U27" s="89"/>
      <c r="V27" s="658"/>
      <c r="W27" s="1">
        <v>100</v>
      </c>
      <c r="X27" s="136"/>
      <c r="Y27" s="142"/>
      <c r="Z27" s="142"/>
      <c r="AA27" s="136"/>
      <c r="AB27" s="136"/>
      <c r="AC27" s="136"/>
      <c r="AD27" s="136"/>
      <c r="AE27" s="136"/>
      <c r="AF27" s="136"/>
      <c r="AG27" s="137"/>
      <c r="AH27" s="137"/>
      <c r="AI27" s="137"/>
      <c r="AJ27" s="137"/>
      <c r="AK27" s="137"/>
      <c r="AL27" s="137"/>
      <c r="AM27" s="137"/>
      <c r="AN27" s="137"/>
      <c r="AO27" s="138"/>
      <c r="AP27" s="138"/>
      <c r="AQ27" s="89"/>
    </row>
    <row r="28" spans="1:43" ht="13.15" customHeight="1" x14ac:dyDescent="0.2">
      <c r="A28" s="20"/>
      <c r="B28" s="424"/>
      <c r="C28" s="28"/>
      <c r="D28" s="27"/>
      <c r="E28" s="320"/>
      <c r="F28" s="124"/>
      <c r="G28" s="124"/>
      <c r="H28" s="124"/>
      <c r="I28" s="124"/>
      <c r="J28" s="354"/>
      <c r="K28" s="321"/>
      <c r="L28" s="124"/>
      <c r="M28" s="124"/>
      <c r="N28" s="354"/>
      <c r="O28" s="110"/>
      <c r="P28" s="110"/>
      <c r="Q28" s="80"/>
      <c r="R28" s="80"/>
      <c r="S28" s="94"/>
      <c r="T28" s="95"/>
      <c r="U28" s="96"/>
      <c r="V28" s="658"/>
      <c r="W28" s="227" t="s">
        <v>296</v>
      </c>
      <c r="X28" s="136"/>
      <c r="Y28" s="142"/>
      <c r="Z28" s="142"/>
      <c r="AA28" s="136"/>
      <c r="AB28" s="136"/>
      <c r="AC28" s="136"/>
      <c r="AD28" s="136"/>
      <c r="AE28" s="136"/>
      <c r="AF28" s="136"/>
      <c r="AG28" s="136"/>
      <c r="AH28" s="137"/>
      <c r="AI28" s="137"/>
      <c r="AJ28" s="137"/>
      <c r="AK28" s="137"/>
      <c r="AL28" s="137"/>
      <c r="AM28" s="137"/>
      <c r="AN28" s="137"/>
      <c r="AO28" s="138"/>
      <c r="AP28" s="138"/>
      <c r="AQ28" s="89"/>
    </row>
    <row r="29" spans="1:43" ht="13.15" customHeight="1" x14ac:dyDescent="0.2">
      <c r="A29" s="19" t="s">
        <v>249</v>
      </c>
      <c r="B29" s="60"/>
      <c r="C29" s="24">
        <v>15</v>
      </c>
      <c r="D29" s="24">
        <v>40</v>
      </c>
      <c r="E29" s="561"/>
      <c r="F29" s="562"/>
      <c r="G29" s="562"/>
      <c r="H29" s="562"/>
      <c r="I29" s="562"/>
      <c r="J29" s="563"/>
      <c r="K29" s="564"/>
      <c r="L29" s="562"/>
      <c r="M29" s="562"/>
      <c r="N29" s="563"/>
      <c r="O29" s="97"/>
      <c r="P29" s="97"/>
      <c r="Q29" s="565"/>
      <c r="R29" s="566"/>
      <c r="S29" s="694" t="s">
        <v>548</v>
      </c>
      <c r="T29" s="91"/>
      <c r="U29" s="92"/>
      <c r="V29" s="658"/>
      <c r="W29" s="1">
        <v>150</v>
      </c>
      <c r="X29" s="136"/>
      <c r="Y29" s="142"/>
      <c r="Z29" s="142"/>
      <c r="AA29" s="136"/>
      <c r="AB29" s="136"/>
      <c r="AC29" s="136"/>
      <c r="AD29" s="136"/>
      <c r="AE29" s="136"/>
      <c r="AF29" s="136"/>
      <c r="AG29" s="136"/>
      <c r="AH29" s="136"/>
      <c r="AI29" s="137"/>
      <c r="AJ29" s="137"/>
      <c r="AK29" s="137"/>
      <c r="AL29" s="137"/>
      <c r="AM29" s="137"/>
      <c r="AN29" s="137"/>
      <c r="AO29" s="138"/>
      <c r="AP29" s="138"/>
      <c r="AQ29" s="89"/>
    </row>
    <row r="30" spans="1:43" ht="13.15" customHeight="1" x14ac:dyDescent="0.2">
      <c r="A30" s="19" t="s">
        <v>250</v>
      </c>
      <c r="B30" s="60"/>
      <c r="C30" s="24">
        <v>250</v>
      </c>
      <c r="D30" s="24">
        <v>600</v>
      </c>
      <c r="E30" s="583" t="s">
        <v>271</v>
      </c>
      <c r="F30" s="549"/>
      <c r="G30" s="549"/>
      <c r="H30" s="549"/>
      <c r="I30" s="549"/>
      <c r="J30" s="550"/>
      <c r="K30" s="584" t="s">
        <v>679</v>
      </c>
      <c r="L30" s="549"/>
      <c r="M30" s="549"/>
      <c r="N30" s="550"/>
      <c r="O30" s="98" t="s">
        <v>236</v>
      </c>
      <c r="P30" s="98" t="s">
        <v>246</v>
      </c>
      <c r="Q30" s="585" t="s">
        <v>307</v>
      </c>
      <c r="R30" s="615"/>
      <c r="S30" s="833"/>
      <c r="U30" s="89"/>
      <c r="V30" s="658"/>
      <c r="W30" s="1">
        <v>200</v>
      </c>
      <c r="X30" s="136"/>
      <c r="Y30" s="142"/>
      <c r="Z30" s="142"/>
      <c r="AA30" s="136"/>
      <c r="AB30" s="136"/>
      <c r="AC30" s="136"/>
      <c r="AD30" s="136"/>
      <c r="AE30" s="136"/>
      <c r="AF30" s="136"/>
      <c r="AG30" s="136"/>
      <c r="AH30" s="136"/>
      <c r="AI30" s="136"/>
      <c r="AJ30" s="137"/>
      <c r="AK30" s="137"/>
      <c r="AL30" s="137"/>
      <c r="AM30" s="137"/>
      <c r="AN30" s="137"/>
      <c r="AO30" s="138"/>
      <c r="AP30" s="138"/>
      <c r="AQ30" s="89"/>
    </row>
    <row r="31" spans="1:43" ht="13.15" customHeight="1" x14ac:dyDescent="0.2">
      <c r="A31" s="19"/>
      <c r="B31" s="60"/>
      <c r="C31" s="210" t="s">
        <v>236</v>
      </c>
      <c r="D31" s="210" t="s">
        <v>236</v>
      </c>
      <c r="E31" s="583" t="s">
        <v>325</v>
      </c>
      <c r="F31" s="549"/>
      <c r="G31" s="549"/>
      <c r="H31" s="549"/>
      <c r="I31" s="549"/>
      <c r="J31" s="550"/>
      <c r="K31" s="584" t="s">
        <v>340</v>
      </c>
      <c r="L31" s="549"/>
      <c r="M31" s="549"/>
      <c r="N31" s="550"/>
      <c r="O31" s="98" t="s">
        <v>236</v>
      </c>
      <c r="P31" s="98" t="s">
        <v>246</v>
      </c>
      <c r="Q31" s="585" t="s">
        <v>347</v>
      </c>
      <c r="R31" s="615"/>
      <c r="S31" s="833"/>
      <c r="U31" s="89"/>
      <c r="V31" s="658"/>
      <c r="W31" s="1">
        <v>250</v>
      </c>
      <c r="X31" s="139" t="s">
        <v>410</v>
      </c>
      <c r="Y31" s="139"/>
      <c r="Z31" s="139" t="s">
        <v>401</v>
      </c>
      <c r="AA31" s="139" t="s">
        <v>236</v>
      </c>
      <c r="AB31" s="139" t="s">
        <v>236</v>
      </c>
      <c r="AC31" s="139" t="s">
        <v>236</v>
      </c>
      <c r="AD31" s="139" t="s">
        <v>236</v>
      </c>
      <c r="AE31" s="139" t="s">
        <v>430</v>
      </c>
      <c r="AF31" s="139" t="s">
        <v>433</v>
      </c>
      <c r="AG31" s="139" t="s">
        <v>236</v>
      </c>
      <c r="AH31" s="139" t="s">
        <v>407</v>
      </c>
      <c r="AI31" s="139" t="s">
        <v>407</v>
      </c>
      <c r="AJ31" s="139" t="s">
        <v>407</v>
      </c>
      <c r="AK31" s="137"/>
      <c r="AL31" s="137"/>
      <c r="AM31" s="137"/>
      <c r="AN31" s="137"/>
      <c r="AO31" s="138"/>
      <c r="AP31" s="138"/>
      <c r="AQ31" s="89"/>
    </row>
    <row r="32" spans="1:43" ht="13.15" customHeight="1" x14ac:dyDescent="0.2">
      <c r="A32" s="19"/>
      <c r="B32" s="60"/>
      <c r="C32" s="210"/>
      <c r="D32" s="210"/>
      <c r="E32" s="155"/>
      <c r="F32" s="160"/>
      <c r="G32" s="160"/>
      <c r="H32" s="160"/>
      <c r="I32" s="160"/>
      <c r="J32" s="181"/>
      <c r="K32" s="373"/>
      <c r="L32" s="311"/>
      <c r="M32" s="311"/>
      <c r="N32" s="357"/>
      <c r="O32" s="98"/>
      <c r="P32" s="98"/>
      <c r="Q32" s="347"/>
      <c r="R32" s="348"/>
      <c r="S32" s="833"/>
      <c r="U32" s="89"/>
      <c r="V32" s="658"/>
      <c r="W32" s="1">
        <v>300</v>
      </c>
      <c r="X32" s="139" t="s">
        <v>410</v>
      </c>
      <c r="Y32" s="139"/>
      <c r="Z32" s="139" t="s">
        <v>401</v>
      </c>
      <c r="AA32" s="139" t="s">
        <v>236</v>
      </c>
      <c r="AB32" s="139" t="s">
        <v>236</v>
      </c>
      <c r="AC32" s="139" t="s">
        <v>236</v>
      </c>
      <c r="AD32" s="139" t="s">
        <v>236</v>
      </c>
      <c r="AE32" s="139" t="s">
        <v>430</v>
      </c>
      <c r="AF32" s="139" t="s">
        <v>433</v>
      </c>
      <c r="AG32" s="139" t="s">
        <v>236</v>
      </c>
      <c r="AH32" s="139" t="s">
        <v>407</v>
      </c>
      <c r="AI32" s="139" t="s">
        <v>407</v>
      </c>
      <c r="AJ32" s="139" t="s">
        <v>407</v>
      </c>
      <c r="AK32" s="139" t="s">
        <v>407</v>
      </c>
      <c r="AL32" s="137"/>
      <c r="AM32" s="137"/>
      <c r="AN32" s="137"/>
      <c r="AO32" s="138"/>
      <c r="AP32" s="138"/>
      <c r="AQ32" s="89"/>
    </row>
    <row r="33" spans="1:43" ht="13.15" customHeight="1" x14ac:dyDescent="0.2">
      <c r="A33" s="19" t="s">
        <v>256</v>
      </c>
      <c r="B33" s="60"/>
      <c r="C33" s="24">
        <v>250</v>
      </c>
      <c r="D33" s="24">
        <v>600</v>
      </c>
      <c r="E33" s="583" t="s">
        <v>512</v>
      </c>
      <c r="F33" s="549"/>
      <c r="G33" s="549"/>
      <c r="H33" s="549"/>
      <c r="I33" s="549"/>
      <c r="J33" s="550"/>
      <c r="K33" s="584" t="s">
        <v>351</v>
      </c>
      <c r="L33" s="549"/>
      <c r="M33" s="549"/>
      <c r="N33" s="550"/>
      <c r="O33" s="98" t="s">
        <v>236</v>
      </c>
      <c r="P33" s="98" t="s">
        <v>328</v>
      </c>
      <c r="Q33" s="585" t="s">
        <v>332</v>
      </c>
      <c r="R33" s="615"/>
      <c r="S33" s="833"/>
      <c r="U33" s="89"/>
      <c r="V33" s="658"/>
      <c r="W33" s="1">
        <v>350</v>
      </c>
      <c r="X33" s="139" t="s">
        <v>410</v>
      </c>
      <c r="Y33" s="139"/>
      <c r="Z33" s="139" t="s">
        <v>401</v>
      </c>
      <c r="AA33" s="139" t="s">
        <v>236</v>
      </c>
      <c r="AB33" s="139" t="s">
        <v>236</v>
      </c>
      <c r="AC33" s="139" t="s">
        <v>236</v>
      </c>
      <c r="AD33" s="139" t="s">
        <v>236</v>
      </c>
      <c r="AE33" s="139" t="s">
        <v>430</v>
      </c>
      <c r="AF33" s="139" t="s">
        <v>433</v>
      </c>
      <c r="AG33" s="139" t="s">
        <v>236</v>
      </c>
      <c r="AH33" s="139" t="s">
        <v>407</v>
      </c>
      <c r="AI33" s="139" t="s">
        <v>407</v>
      </c>
      <c r="AJ33" s="139" t="s">
        <v>407</v>
      </c>
      <c r="AK33" s="139" t="s">
        <v>407</v>
      </c>
      <c r="AL33" s="139" t="s">
        <v>407</v>
      </c>
      <c r="AM33" s="137"/>
      <c r="AN33" s="137"/>
      <c r="AO33" s="138"/>
      <c r="AP33" s="138"/>
      <c r="AQ33" s="89"/>
    </row>
    <row r="34" spans="1:43" ht="13.15" customHeight="1" x14ac:dyDescent="0.2">
      <c r="A34" s="19"/>
      <c r="B34" s="60"/>
      <c r="C34" s="24"/>
      <c r="D34" s="24"/>
      <c r="E34" s="583"/>
      <c r="F34" s="549"/>
      <c r="G34" s="549"/>
      <c r="H34" s="549"/>
      <c r="I34" s="549"/>
      <c r="J34" s="550"/>
      <c r="K34" s="584"/>
      <c r="L34" s="549"/>
      <c r="M34" s="549"/>
      <c r="N34" s="550"/>
      <c r="O34" s="165"/>
      <c r="P34" s="98"/>
      <c r="Q34" s="585"/>
      <c r="R34" s="615"/>
      <c r="S34" s="833"/>
      <c r="U34" s="89"/>
      <c r="V34" s="658"/>
      <c r="W34" s="1">
        <v>400</v>
      </c>
      <c r="X34" s="139" t="s">
        <v>410</v>
      </c>
      <c r="Y34" s="139"/>
      <c r="Z34" s="139" t="s">
        <v>401</v>
      </c>
      <c r="AA34" s="141" t="s">
        <v>236</v>
      </c>
      <c r="AB34" s="141" t="s">
        <v>236</v>
      </c>
      <c r="AC34" s="141" t="s">
        <v>236</v>
      </c>
      <c r="AD34" s="141" t="s">
        <v>236</v>
      </c>
      <c r="AE34" s="139" t="s">
        <v>430</v>
      </c>
      <c r="AF34" s="139" t="s">
        <v>433</v>
      </c>
      <c r="AG34" s="141" t="s">
        <v>236</v>
      </c>
      <c r="AH34" s="139" t="s">
        <v>407</v>
      </c>
      <c r="AI34" s="139" t="s">
        <v>407</v>
      </c>
      <c r="AJ34" s="139" t="s">
        <v>407</v>
      </c>
      <c r="AK34" s="139" t="s">
        <v>407</v>
      </c>
      <c r="AL34" s="139" t="s">
        <v>407</v>
      </c>
      <c r="AM34" s="139" t="s">
        <v>407</v>
      </c>
      <c r="AN34" s="137"/>
      <c r="AO34" s="138"/>
      <c r="AP34" s="138"/>
      <c r="AQ34" s="89"/>
    </row>
    <row r="35" spans="1:43" ht="13.15" customHeight="1" x14ac:dyDescent="0.2">
      <c r="A35" s="19"/>
      <c r="B35" s="60"/>
      <c r="C35" s="24"/>
      <c r="D35" s="24"/>
      <c r="E35" s="583" t="s">
        <v>530</v>
      </c>
      <c r="F35" s="549"/>
      <c r="G35" s="549"/>
      <c r="H35" s="549"/>
      <c r="I35" s="549"/>
      <c r="J35" s="550"/>
      <c r="K35" s="584">
        <v>1.5415000000000001</v>
      </c>
      <c r="L35" s="549"/>
      <c r="M35" s="549"/>
      <c r="N35" s="550"/>
      <c r="O35" s="98" t="s">
        <v>236</v>
      </c>
      <c r="P35" s="98" t="s">
        <v>257</v>
      </c>
      <c r="Q35" s="585" t="s">
        <v>721</v>
      </c>
      <c r="R35" s="615"/>
      <c r="S35" s="833"/>
      <c r="U35" s="89"/>
      <c r="V35" s="658"/>
      <c r="W35" s="1">
        <v>450</v>
      </c>
      <c r="X35" s="139" t="s">
        <v>410</v>
      </c>
      <c r="Y35" s="139"/>
      <c r="Z35" s="139" t="s">
        <v>401</v>
      </c>
      <c r="AA35" s="141" t="s">
        <v>236</v>
      </c>
      <c r="AB35" s="141" t="s">
        <v>236</v>
      </c>
      <c r="AC35" s="141" t="s">
        <v>236</v>
      </c>
      <c r="AD35" s="141" t="s">
        <v>236</v>
      </c>
      <c r="AE35" s="139" t="s">
        <v>430</v>
      </c>
      <c r="AF35" s="139" t="s">
        <v>433</v>
      </c>
      <c r="AG35" s="141" t="s">
        <v>236</v>
      </c>
      <c r="AH35" s="139" t="s">
        <v>435</v>
      </c>
      <c r="AI35" s="139" t="s">
        <v>407</v>
      </c>
      <c r="AJ35" s="139" t="s">
        <v>407</v>
      </c>
      <c r="AK35" s="139" t="s">
        <v>407</v>
      </c>
      <c r="AL35" s="139" t="s">
        <v>407</v>
      </c>
      <c r="AM35" s="139" t="s">
        <v>407</v>
      </c>
      <c r="AN35" s="139" t="s">
        <v>407</v>
      </c>
      <c r="AO35" s="138"/>
      <c r="AP35" s="138"/>
      <c r="AQ35" s="89"/>
    </row>
    <row r="36" spans="1:43" ht="13.15" customHeight="1" x14ac:dyDescent="0.2">
      <c r="A36" s="19"/>
      <c r="B36" s="60"/>
      <c r="C36" s="24"/>
      <c r="D36" s="24"/>
      <c r="E36" s="583" t="s">
        <v>327</v>
      </c>
      <c r="F36" s="549"/>
      <c r="G36" s="549"/>
      <c r="H36" s="549"/>
      <c r="I36" s="549"/>
      <c r="J36" s="550"/>
      <c r="K36" s="584" t="s">
        <v>330</v>
      </c>
      <c r="L36" s="549"/>
      <c r="M36" s="549"/>
      <c r="N36" s="550"/>
      <c r="O36" s="98" t="s">
        <v>236</v>
      </c>
      <c r="P36" s="98" t="s">
        <v>257</v>
      </c>
      <c r="Q36" s="585" t="s">
        <v>329</v>
      </c>
      <c r="R36" s="615"/>
      <c r="S36" s="833"/>
      <c r="U36" s="89"/>
      <c r="V36" s="658"/>
      <c r="W36" s="1">
        <v>500</v>
      </c>
      <c r="X36" s="139" t="s">
        <v>410</v>
      </c>
      <c r="Y36" s="139"/>
      <c r="Z36" s="139" t="s">
        <v>401</v>
      </c>
      <c r="AA36" s="139" t="s">
        <v>236</v>
      </c>
      <c r="AB36" s="139" t="s">
        <v>236</v>
      </c>
      <c r="AC36" s="139" t="s">
        <v>236</v>
      </c>
      <c r="AD36" s="139" t="s">
        <v>236</v>
      </c>
      <c r="AE36" s="139" t="s">
        <v>430</v>
      </c>
      <c r="AF36" s="139" t="s">
        <v>433</v>
      </c>
      <c r="AG36" s="139" t="s">
        <v>236</v>
      </c>
      <c r="AH36" s="139" t="s">
        <v>435</v>
      </c>
      <c r="AI36" s="139" t="s">
        <v>396</v>
      </c>
      <c r="AJ36" s="139" t="s">
        <v>396</v>
      </c>
      <c r="AK36" s="139" t="s">
        <v>396</v>
      </c>
      <c r="AL36" s="139" t="s">
        <v>396</v>
      </c>
      <c r="AM36" s="139" t="s">
        <v>396</v>
      </c>
      <c r="AN36" s="139" t="s">
        <v>396</v>
      </c>
      <c r="AO36" s="139" t="s">
        <v>396</v>
      </c>
      <c r="AP36" s="138"/>
      <c r="AQ36" s="89"/>
    </row>
    <row r="37" spans="1:43" ht="13.15" customHeight="1" x14ac:dyDescent="0.2">
      <c r="A37" s="19" t="s">
        <v>258</v>
      </c>
      <c r="B37" s="60"/>
      <c r="C37" s="24">
        <v>15</v>
      </c>
      <c r="D37" s="24">
        <v>40</v>
      </c>
      <c r="E37" s="583" t="s">
        <v>271</v>
      </c>
      <c r="F37" s="549"/>
      <c r="G37" s="549"/>
      <c r="H37" s="549"/>
      <c r="I37" s="549"/>
      <c r="J37" s="550"/>
      <c r="K37" s="584"/>
      <c r="L37" s="549"/>
      <c r="M37" s="549"/>
      <c r="N37" s="550"/>
      <c r="O37" s="98"/>
      <c r="P37" s="98"/>
      <c r="Q37" s="585"/>
      <c r="R37" s="615"/>
      <c r="S37" s="833"/>
      <c r="U37" s="89"/>
      <c r="V37" s="658"/>
      <c r="W37" s="1">
        <v>600</v>
      </c>
      <c r="X37" s="139" t="s">
        <v>410</v>
      </c>
      <c r="Y37" s="139"/>
      <c r="Z37" s="139" t="s">
        <v>401</v>
      </c>
      <c r="AA37" s="139" t="s">
        <v>236</v>
      </c>
      <c r="AB37" s="139" t="s">
        <v>236</v>
      </c>
      <c r="AC37" s="139" t="s">
        <v>236</v>
      </c>
      <c r="AD37" s="139" t="s">
        <v>236</v>
      </c>
      <c r="AE37" s="139" t="s">
        <v>430</v>
      </c>
      <c r="AF37" s="139" t="s">
        <v>433</v>
      </c>
      <c r="AG37" s="139" t="s">
        <v>236</v>
      </c>
      <c r="AH37" s="139" t="s">
        <v>435</v>
      </c>
      <c r="AI37" s="139" t="s">
        <v>434</v>
      </c>
      <c r="AJ37" s="139" t="s">
        <v>396</v>
      </c>
      <c r="AK37" s="139" t="s">
        <v>396</v>
      </c>
      <c r="AL37" s="139" t="s">
        <v>396</v>
      </c>
      <c r="AM37" s="139" t="s">
        <v>396</v>
      </c>
      <c r="AN37" s="139" t="s">
        <v>396</v>
      </c>
      <c r="AO37" s="139" t="s">
        <v>396</v>
      </c>
      <c r="AP37" s="139" t="s">
        <v>396</v>
      </c>
      <c r="AQ37" s="89"/>
    </row>
    <row r="38" spans="1:43" ht="13.15" customHeight="1" x14ac:dyDescent="0.2">
      <c r="A38" s="19"/>
      <c r="B38" s="60"/>
      <c r="C38" s="24">
        <v>250</v>
      </c>
      <c r="D38" s="24">
        <v>600</v>
      </c>
      <c r="E38" s="713" t="s">
        <v>378</v>
      </c>
      <c r="F38" s="714"/>
      <c r="G38" s="714"/>
      <c r="H38" s="714"/>
      <c r="I38" s="714"/>
      <c r="J38" s="715"/>
      <c r="K38" s="720" t="s">
        <v>351</v>
      </c>
      <c r="L38" s="714"/>
      <c r="M38" s="714"/>
      <c r="N38" s="715"/>
      <c r="O38" s="98" t="s">
        <v>236</v>
      </c>
      <c r="P38" s="110" t="s">
        <v>328</v>
      </c>
      <c r="Q38" s="718" t="s">
        <v>332</v>
      </c>
      <c r="R38" s="719"/>
      <c r="S38" s="834"/>
      <c r="T38" s="95"/>
      <c r="U38" s="96"/>
      <c r="V38" s="658"/>
      <c r="W38" s="1">
        <v>700</v>
      </c>
      <c r="X38" s="288"/>
      <c r="Y38" s="288"/>
      <c r="Z38" s="288"/>
      <c r="AA38" s="288"/>
      <c r="AB38" s="288"/>
      <c r="AC38" s="288"/>
      <c r="AD38" s="288"/>
      <c r="AE38" s="288"/>
      <c r="AF38" s="288"/>
      <c r="AG38" s="288"/>
      <c r="AH38" s="288"/>
      <c r="AI38" s="288"/>
      <c r="AJ38" s="288"/>
      <c r="AK38" s="288"/>
      <c r="AL38" s="288"/>
      <c r="AM38" s="288"/>
      <c r="AN38" s="288"/>
      <c r="AO38" s="288"/>
      <c r="AP38" s="288"/>
      <c r="AQ38" s="89"/>
    </row>
    <row r="39" spans="1:43" ht="13.15" customHeight="1" x14ac:dyDescent="0.2">
      <c r="A39" s="26" t="s">
        <v>216</v>
      </c>
      <c r="B39" s="454"/>
      <c r="C39" s="29">
        <v>250</v>
      </c>
      <c r="D39" s="25">
        <v>600</v>
      </c>
      <c r="E39" s="561" t="s">
        <v>384</v>
      </c>
      <c r="F39" s="562"/>
      <c r="G39" s="562"/>
      <c r="H39" s="562"/>
      <c r="I39" s="562"/>
      <c r="J39" s="563"/>
      <c r="K39" s="584" t="s">
        <v>679</v>
      </c>
      <c r="L39" s="549"/>
      <c r="M39" s="549"/>
      <c r="N39" s="550"/>
      <c r="O39" s="97"/>
      <c r="P39" s="97" t="s">
        <v>246</v>
      </c>
      <c r="Q39" s="565" t="s">
        <v>306</v>
      </c>
      <c r="R39" s="566"/>
      <c r="S39" s="688" t="s">
        <v>357</v>
      </c>
      <c r="T39" s="689"/>
      <c r="U39" s="690"/>
      <c r="V39" s="658"/>
      <c r="W39" s="61">
        <v>800</v>
      </c>
      <c r="X39" s="288"/>
      <c r="Y39" s="288"/>
      <c r="Z39" s="288"/>
      <c r="AA39" s="288"/>
      <c r="AB39" s="288"/>
      <c r="AC39" s="288"/>
      <c r="AD39" s="288"/>
      <c r="AE39" s="288"/>
      <c r="AF39" s="288"/>
      <c r="AG39" s="288"/>
      <c r="AH39" s="288"/>
      <c r="AI39" s="288"/>
      <c r="AJ39" s="288"/>
      <c r="AK39" s="288"/>
      <c r="AL39" s="288"/>
      <c r="AM39" s="288"/>
      <c r="AN39" s="288"/>
      <c r="AO39" s="288"/>
      <c r="AP39" s="288"/>
      <c r="AQ39" s="89"/>
    </row>
    <row r="40" spans="1:43" ht="13.15" customHeight="1" x14ac:dyDescent="0.2">
      <c r="A40" s="19"/>
      <c r="B40" s="60"/>
      <c r="C40" s="24"/>
      <c r="D40" s="23"/>
      <c r="E40" s="155"/>
      <c r="F40" s="160"/>
      <c r="G40" s="160"/>
      <c r="H40" s="160"/>
      <c r="I40" s="160"/>
      <c r="J40" s="181"/>
      <c r="K40" s="182"/>
      <c r="L40" s="160"/>
      <c r="M40" s="160"/>
      <c r="N40" s="181"/>
      <c r="O40" s="98"/>
      <c r="P40" s="98"/>
      <c r="Q40" s="347"/>
      <c r="R40" s="348"/>
      <c r="S40" s="691"/>
      <c r="T40" s="692"/>
      <c r="U40" s="693"/>
      <c r="V40" s="658"/>
      <c r="W40" s="61">
        <v>900</v>
      </c>
      <c r="X40" s="288"/>
      <c r="Y40" s="288"/>
      <c r="Z40" s="288"/>
      <c r="AA40" s="288"/>
      <c r="AB40" s="288"/>
      <c r="AC40" s="288"/>
      <c r="AD40" s="288"/>
      <c r="AE40" s="288"/>
      <c r="AF40" s="288"/>
      <c r="AG40" s="288"/>
      <c r="AH40" s="288"/>
      <c r="AI40" s="288"/>
      <c r="AJ40" s="288"/>
      <c r="AK40" s="288"/>
      <c r="AL40" s="288"/>
      <c r="AM40" s="288"/>
      <c r="AN40" s="288"/>
      <c r="AO40" s="288"/>
      <c r="AP40" s="288"/>
      <c r="AQ40" s="89"/>
    </row>
    <row r="41" spans="1:43" ht="13.15" customHeight="1" x14ac:dyDescent="0.2">
      <c r="A41" s="20"/>
      <c r="B41" s="424"/>
      <c r="C41" s="28"/>
      <c r="D41" s="27"/>
      <c r="E41" s="320"/>
      <c r="F41" s="124"/>
      <c r="G41" s="124"/>
      <c r="H41" s="124"/>
      <c r="I41" s="124"/>
      <c r="J41" s="354"/>
      <c r="K41" s="321"/>
      <c r="L41" s="124"/>
      <c r="M41" s="124"/>
      <c r="N41" s="354"/>
      <c r="O41" s="110"/>
      <c r="P41" s="99"/>
      <c r="Q41" s="80"/>
      <c r="R41" s="80"/>
      <c r="S41" s="94"/>
      <c r="T41" s="95"/>
      <c r="U41" s="96"/>
      <c r="V41" s="263"/>
      <c r="X41">
        <v>15</v>
      </c>
      <c r="Y41" s="484" t="s">
        <v>642</v>
      </c>
      <c r="Z41">
        <v>25</v>
      </c>
      <c r="AA41" s="484" t="s">
        <v>643</v>
      </c>
      <c r="AB41">
        <v>40</v>
      </c>
      <c r="AC41">
        <v>50</v>
      </c>
      <c r="AD41" s="228" t="s">
        <v>295</v>
      </c>
      <c r="AE41">
        <v>80</v>
      </c>
      <c r="AF41">
        <v>100</v>
      </c>
      <c r="AG41" s="228" t="s">
        <v>296</v>
      </c>
      <c r="AH41">
        <v>150</v>
      </c>
      <c r="AI41">
        <v>200</v>
      </c>
      <c r="AJ41">
        <v>250</v>
      </c>
      <c r="AK41">
        <v>300</v>
      </c>
      <c r="AL41">
        <v>350</v>
      </c>
      <c r="AM41" s="2">
        <v>400</v>
      </c>
      <c r="AN41" s="2">
        <v>450</v>
      </c>
      <c r="AO41" s="2">
        <v>500</v>
      </c>
      <c r="AP41" s="2">
        <v>600</v>
      </c>
      <c r="AQ41" s="89"/>
    </row>
    <row r="42" spans="1:43" ht="13.15" customHeight="1" x14ac:dyDescent="0.2">
      <c r="A42" s="19" t="s">
        <v>215</v>
      </c>
      <c r="B42" s="60"/>
      <c r="C42" s="24">
        <v>15</v>
      </c>
      <c r="D42" s="24">
        <v>25</v>
      </c>
      <c r="E42" s="561" t="s">
        <v>247</v>
      </c>
      <c r="F42" s="562"/>
      <c r="G42" s="562"/>
      <c r="H42" s="562"/>
      <c r="I42" s="562"/>
      <c r="J42" s="563"/>
      <c r="K42" s="564" t="s">
        <v>678</v>
      </c>
      <c r="L42" s="562"/>
      <c r="M42" s="562"/>
      <c r="N42" s="563"/>
      <c r="O42" s="97" t="s">
        <v>236</v>
      </c>
      <c r="P42" s="97" t="s">
        <v>246</v>
      </c>
      <c r="Q42" s="565" t="s">
        <v>306</v>
      </c>
      <c r="R42" s="566"/>
      <c r="S42" s="109"/>
      <c r="T42" s="91"/>
      <c r="U42" s="92"/>
      <c r="V42" s="290"/>
      <c r="X42" s="659" t="s">
        <v>275</v>
      </c>
      <c r="Y42" s="660"/>
      <c r="Z42" s="660"/>
      <c r="AA42" s="660"/>
      <c r="AB42" s="660"/>
      <c r="AC42" s="660"/>
      <c r="AD42" s="660"/>
      <c r="AE42" s="660"/>
      <c r="AF42" s="660"/>
      <c r="AG42" s="660"/>
      <c r="AH42" s="660"/>
      <c r="AI42" s="660"/>
      <c r="AJ42" s="660"/>
      <c r="AK42" s="660"/>
      <c r="AL42" s="660"/>
      <c r="AM42" s="660"/>
      <c r="AN42" s="660"/>
      <c r="AO42" s="660"/>
      <c r="AP42" s="660"/>
      <c r="AQ42" s="89"/>
    </row>
    <row r="43" spans="1:43" ht="13.15" customHeight="1" x14ac:dyDescent="0.2">
      <c r="A43" s="19"/>
      <c r="B43" s="60"/>
      <c r="C43" s="24">
        <v>250</v>
      </c>
      <c r="D43" s="24">
        <v>600</v>
      </c>
      <c r="E43" s="583" t="s">
        <v>247</v>
      </c>
      <c r="F43" s="549"/>
      <c r="G43" s="549"/>
      <c r="H43" s="549"/>
      <c r="I43" s="549"/>
      <c r="J43" s="550"/>
      <c r="K43" s="584" t="s">
        <v>679</v>
      </c>
      <c r="L43" s="549"/>
      <c r="M43" s="549"/>
      <c r="N43" s="550"/>
      <c r="O43" s="98" t="s">
        <v>236</v>
      </c>
      <c r="P43" s="98" t="s">
        <v>246</v>
      </c>
      <c r="Q43" s="585" t="s">
        <v>306</v>
      </c>
      <c r="R43" s="615"/>
      <c r="S43" s="88"/>
      <c r="U43" s="89"/>
      <c r="V43" s="657" t="s">
        <v>274</v>
      </c>
      <c r="AQ43" s="89"/>
    </row>
    <row r="44" spans="1:43" ht="13.15" customHeight="1" x14ac:dyDescent="0.2">
      <c r="A44" s="20"/>
      <c r="B44" s="424"/>
      <c r="C44" s="28"/>
      <c r="D44" s="28"/>
      <c r="E44" s="320"/>
      <c r="F44" s="124"/>
      <c r="G44" s="124"/>
      <c r="H44" s="124"/>
      <c r="I44" s="124"/>
      <c r="J44" s="354"/>
      <c r="K44" s="321"/>
      <c r="L44" s="124"/>
      <c r="M44" s="124"/>
      <c r="N44" s="354"/>
      <c r="O44" s="110"/>
      <c r="P44" s="110"/>
      <c r="Q44" s="80"/>
      <c r="R44" s="80"/>
      <c r="S44" s="94"/>
      <c r="T44" s="95"/>
      <c r="U44" s="96"/>
      <c r="V44" s="658"/>
      <c r="AQ44" s="89"/>
    </row>
    <row r="45" spans="1:43" ht="13.15" customHeight="1" x14ac:dyDescent="0.2">
      <c r="A45" s="19" t="s">
        <v>214</v>
      </c>
      <c r="B45" s="60"/>
      <c r="C45" s="24">
        <v>15</v>
      </c>
      <c r="D45" s="24">
        <v>50</v>
      </c>
      <c r="E45" s="561" t="s">
        <v>481</v>
      </c>
      <c r="F45" s="716"/>
      <c r="G45" s="716"/>
      <c r="H45" s="716"/>
      <c r="I45" s="716"/>
      <c r="J45" s="717"/>
      <c r="K45" s="564" t="s">
        <v>351</v>
      </c>
      <c r="L45" s="716"/>
      <c r="M45" s="716"/>
      <c r="N45" s="717"/>
      <c r="O45" s="97" t="s">
        <v>341</v>
      </c>
      <c r="P45" s="97" t="s">
        <v>363</v>
      </c>
      <c r="Q45" s="565" t="s">
        <v>309</v>
      </c>
      <c r="R45" s="724"/>
      <c r="S45" s="109"/>
      <c r="T45" s="91"/>
      <c r="U45" s="92"/>
      <c r="V45" s="658"/>
      <c r="W45" s="118">
        <v>700</v>
      </c>
      <c r="X45" s="139"/>
      <c r="Y45" s="147"/>
      <c r="Z45" s="137"/>
      <c r="AQ45" s="89"/>
    </row>
    <row r="46" spans="1:43" ht="13.15" customHeight="1" x14ac:dyDescent="0.2">
      <c r="A46" s="19"/>
      <c r="B46" s="60"/>
      <c r="C46" s="24"/>
      <c r="D46" s="23"/>
      <c r="E46" s="583" t="s">
        <v>481</v>
      </c>
      <c r="F46" s="725"/>
      <c r="G46" s="725"/>
      <c r="H46" s="725"/>
      <c r="I46" s="725"/>
      <c r="J46" s="726"/>
      <c r="K46" s="584" t="s">
        <v>351</v>
      </c>
      <c r="L46" s="725"/>
      <c r="M46" s="725"/>
      <c r="N46" s="726"/>
      <c r="O46" s="98" t="s">
        <v>308</v>
      </c>
      <c r="P46" s="98" t="s">
        <v>363</v>
      </c>
      <c r="Q46" s="585" t="s">
        <v>309</v>
      </c>
      <c r="R46" s="727"/>
      <c r="S46" s="88"/>
      <c r="U46" s="89"/>
      <c r="V46" s="658"/>
      <c r="W46" s="1">
        <v>800</v>
      </c>
      <c r="X46" s="139"/>
      <c r="Y46" s="139"/>
      <c r="Z46" s="137"/>
      <c r="AQ46" s="89"/>
    </row>
    <row r="47" spans="1:43" ht="13.15" customHeight="1" x14ac:dyDescent="0.2">
      <c r="A47" s="19"/>
      <c r="B47" s="60"/>
      <c r="C47" s="28"/>
      <c r="D47" s="27"/>
      <c r="E47" s="320"/>
      <c r="F47" s="124"/>
      <c r="G47" s="124"/>
      <c r="H47" s="124"/>
      <c r="I47" s="124"/>
      <c r="J47" s="354"/>
      <c r="K47" s="321"/>
      <c r="L47" s="124"/>
      <c r="M47" s="124"/>
      <c r="N47" s="354"/>
      <c r="O47" s="110"/>
      <c r="P47" s="110"/>
      <c r="Q47" s="80"/>
      <c r="R47" s="80"/>
      <c r="S47" s="94"/>
      <c r="T47" s="95"/>
      <c r="U47" s="96"/>
      <c r="V47" s="21"/>
      <c r="W47" s="1">
        <v>900</v>
      </c>
      <c r="X47" s="139"/>
      <c r="Y47" s="139"/>
      <c r="Z47" s="139"/>
      <c r="AQ47" s="89"/>
    </row>
    <row r="48" spans="1:43" ht="13.15" customHeight="1" x14ac:dyDescent="0.2">
      <c r="A48" s="26" t="s">
        <v>213</v>
      </c>
      <c r="B48" s="435"/>
      <c r="C48" s="24">
        <v>15</v>
      </c>
      <c r="D48" s="24">
        <v>50</v>
      </c>
      <c r="E48" s="561" t="s">
        <v>482</v>
      </c>
      <c r="F48" s="716"/>
      <c r="G48" s="716"/>
      <c r="H48" s="716"/>
      <c r="I48" s="716"/>
      <c r="J48" s="717"/>
      <c r="K48" s="564" t="s">
        <v>723</v>
      </c>
      <c r="L48" s="716"/>
      <c r="M48" s="716"/>
      <c r="N48" s="717"/>
      <c r="O48" s="97" t="s">
        <v>341</v>
      </c>
      <c r="P48" s="97" t="s">
        <v>248</v>
      </c>
      <c r="Q48" s="565" t="s">
        <v>309</v>
      </c>
      <c r="R48" s="724"/>
      <c r="S48" s="109"/>
      <c r="T48" s="91"/>
      <c r="U48" s="92"/>
      <c r="V48" s="21"/>
      <c r="W48"/>
      <c r="X48">
        <v>700</v>
      </c>
      <c r="Y48">
        <v>800</v>
      </c>
      <c r="Z48">
        <v>900</v>
      </c>
      <c r="AQ48" s="89"/>
    </row>
    <row r="49" spans="1:43" ht="13.15" customHeight="1" x14ac:dyDescent="0.2">
      <c r="A49" s="19"/>
      <c r="B49" s="60"/>
      <c r="C49" s="24"/>
      <c r="D49" s="24"/>
      <c r="E49" s="583" t="s">
        <v>482</v>
      </c>
      <c r="F49" s="725"/>
      <c r="G49" s="725"/>
      <c r="H49" s="725"/>
      <c r="I49" s="725"/>
      <c r="J49" s="726"/>
      <c r="K49" s="584" t="s">
        <v>723</v>
      </c>
      <c r="L49" s="725"/>
      <c r="M49" s="725"/>
      <c r="N49" s="726"/>
      <c r="O49" s="98" t="s">
        <v>308</v>
      </c>
      <c r="P49" s="98" t="s">
        <v>248</v>
      </c>
      <c r="Q49" s="585" t="s">
        <v>309</v>
      </c>
      <c r="R49" s="727"/>
      <c r="S49" s="88"/>
      <c r="U49" s="89"/>
      <c r="V49" s="21"/>
      <c r="W49"/>
      <c r="X49" s="659" t="s">
        <v>275</v>
      </c>
      <c r="Y49" s="660"/>
      <c r="Z49" s="660"/>
      <c r="AQ49" s="89"/>
    </row>
    <row r="50" spans="1:43" ht="13.15" customHeight="1" x14ac:dyDescent="0.2">
      <c r="A50" s="20"/>
      <c r="B50" s="424"/>
      <c r="C50" s="28"/>
      <c r="D50" s="28"/>
      <c r="E50" s="320"/>
      <c r="F50" s="124"/>
      <c r="G50" s="124"/>
      <c r="H50" s="124"/>
      <c r="I50" s="124"/>
      <c r="J50" s="354"/>
      <c r="K50" s="321"/>
      <c r="L50" s="124"/>
      <c r="M50" s="124"/>
      <c r="N50" s="124"/>
      <c r="O50" s="110"/>
      <c r="P50" s="110"/>
      <c r="Q50" s="80"/>
      <c r="R50" s="80"/>
      <c r="S50" s="94"/>
      <c r="T50" s="95"/>
      <c r="U50" s="96"/>
      <c r="V50" s="21"/>
      <c r="W50" s="228"/>
      <c r="Y50"/>
      <c r="Z50"/>
      <c r="AQ50" s="89"/>
    </row>
    <row r="51" spans="1:43" ht="13.15" customHeight="1" x14ac:dyDescent="0.2">
      <c r="A51" s="19" t="s">
        <v>264</v>
      </c>
      <c r="B51" s="60"/>
      <c r="C51" s="24" t="s">
        <v>313</v>
      </c>
      <c r="D51" s="24" t="s">
        <v>314</v>
      </c>
      <c r="E51" s="561"/>
      <c r="F51" s="562"/>
      <c r="G51" s="562"/>
      <c r="H51" s="562"/>
      <c r="I51" s="562"/>
      <c r="J51" s="563"/>
      <c r="K51" s="564"/>
      <c r="L51" s="562"/>
      <c r="M51" s="562"/>
      <c r="N51" s="563"/>
      <c r="O51" s="97"/>
      <c r="P51" s="97"/>
      <c r="Q51" s="565"/>
      <c r="R51" s="566"/>
      <c r="S51" s="90"/>
      <c r="T51" s="91"/>
      <c r="U51" s="92"/>
      <c r="V51" s="21"/>
      <c r="AQ51" s="89"/>
    </row>
    <row r="52" spans="1:43" ht="13.15" customHeight="1" x14ac:dyDescent="0.2">
      <c r="A52" s="20"/>
      <c r="B52" s="424"/>
      <c r="C52" s="28"/>
      <c r="D52" s="28"/>
      <c r="E52" s="320"/>
      <c r="F52" s="123"/>
      <c r="G52" s="123"/>
      <c r="H52" s="123"/>
      <c r="I52" s="123"/>
      <c r="J52" s="112"/>
      <c r="K52" s="355"/>
      <c r="L52" s="123"/>
      <c r="M52" s="123"/>
      <c r="N52" s="112"/>
      <c r="O52" s="146"/>
      <c r="P52" s="146"/>
      <c r="Q52" s="123"/>
      <c r="R52" s="123"/>
      <c r="S52" s="88"/>
      <c r="U52" s="89"/>
      <c r="V52" s="21"/>
      <c r="AQ52" s="89"/>
    </row>
    <row r="53" spans="1:43" ht="13.15" customHeight="1" x14ac:dyDescent="0.2">
      <c r="A53" s="19" t="s">
        <v>212</v>
      </c>
      <c r="B53" s="60"/>
      <c r="C53" s="24" t="s">
        <v>313</v>
      </c>
      <c r="D53" s="24" t="s">
        <v>314</v>
      </c>
      <c r="E53" s="561"/>
      <c r="F53" s="562"/>
      <c r="G53" s="562"/>
      <c r="H53" s="562"/>
      <c r="I53" s="562"/>
      <c r="J53" s="563"/>
      <c r="K53" s="564"/>
      <c r="L53" s="562"/>
      <c r="M53" s="562"/>
      <c r="N53" s="563"/>
      <c r="O53" s="97"/>
      <c r="P53" s="97"/>
      <c r="Q53" s="565"/>
      <c r="R53" s="566"/>
      <c r="S53" s="90"/>
      <c r="T53" s="91"/>
      <c r="U53" s="92"/>
      <c r="V53" s="21"/>
      <c r="AQ53" s="89"/>
    </row>
    <row r="54" spans="1:43" ht="13.15" customHeight="1" x14ac:dyDescent="0.2">
      <c r="A54" s="20"/>
      <c r="B54" s="424"/>
      <c r="C54" s="28"/>
      <c r="D54" s="28"/>
      <c r="E54" s="320"/>
      <c r="F54" s="124"/>
      <c r="G54" s="124"/>
      <c r="H54" s="124"/>
      <c r="I54" s="124"/>
      <c r="J54" s="354"/>
      <c r="K54" s="124"/>
      <c r="L54" s="124"/>
      <c r="M54" s="124"/>
      <c r="N54" s="124"/>
      <c r="O54" s="110"/>
      <c r="P54" s="110"/>
      <c r="Q54" s="321"/>
      <c r="R54" s="111"/>
      <c r="S54" s="94"/>
      <c r="T54" s="95"/>
      <c r="U54" s="96"/>
      <c r="V54" s="21"/>
      <c r="W54" s="310"/>
      <c r="X54" s="310"/>
      <c r="Y54" s="311"/>
      <c r="Z54" s="311"/>
      <c r="AA54" s="311"/>
      <c r="AB54" s="311"/>
      <c r="AC54" s="311"/>
      <c r="AD54" s="311"/>
      <c r="AE54" s="310"/>
      <c r="AF54" s="311"/>
      <c r="AG54" s="311"/>
      <c r="AH54" s="311"/>
      <c r="AI54" s="310"/>
      <c r="AJ54" s="310"/>
      <c r="AK54" s="310"/>
      <c r="AL54" s="311"/>
      <c r="AM54" s="310"/>
      <c r="AN54" s="161"/>
      <c r="AO54" s="161"/>
      <c r="AP54" s="311"/>
      <c r="AQ54" s="89"/>
    </row>
    <row r="55" spans="1:43" ht="13.15" customHeight="1" x14ac:dyDescent="0.2">
      <c r="A55" s="19" t="s">
        <v>211</v>
      </c>
      <c r="B55" s="60"/>
      <c r="C55" s="29">
        <v>15</v>
      </c>
      <c r="D55" s="25">
        <v>50</v>
      </c>
      <c r="E55" s="561" t="s">
        <v>263</v>
      </c>
      <c r="F55" s="562"/>
      <c r="G55" s="562"/>
      <c r="H55" s="562"/>
      <c r="I55" s="562"/>
      <c r="J55" s="563"/>
      <c r="K55" s="564" t="s">
        <v>724</v>
      </c>
      <c r="L55" s="562"/>
      <c r="M55" s="562"/>
      <c r="N55" s="563"/>
      <c r="O55" s="97" t="s">
        <v>341</v>
      </c>
      <c r="P55" s="97"/>
      <c r="Q55" s="565" t="s">
        <v>339</v>
      </c>
      <c r="R55" s="566"/>
      <c r="S55" s="825" t="s">
        <v>669</v>
      </c>
      <c r="T55" s="552"/>
      <c r="U55" s="826"/>
      <c r="V55" s="21"/>
      <c r="W55" s="624" t="s">
        <v>259</v>
      </c>
      <c r="X55" s="551" t="s">
        <v>197</v>
      </c>
      <c r="Y55" s="552"/>
      <c r="Z55" s="552"/>
      <c r="AA55" s="552"/>
      <c r="AB55" s="552"/>
      <c r="AC55" s="552"/>
      <c r="AD55" s="553"/>
      <c r="AE55" s="557" t="s">
        <v>241</v>
      </c>
      <c r="AF55" s="552"/>
      <c r="AG55" s="552"/>
      <c r="AH55" s="553"/>
      <c r="AI55" s="559" t="s">
        <v>243</v>
      </c>
      <c r="AJ55" s="559" t="s">
        <v>242</v>
      </c>
      <c r="AK55" s="557" t="s">
        <v>244</v>
      </c>
      <c r="AL55" s="553"/>
      <c r="AM55" s="557" t="s">
        <v>245</v>
      </c>
      <c r="AN55" s="626"/>
      <c r="AO55" s="626"/>
      <c r="AP55" s="627"/>
      <c r="AQ55" s="89"/>
    </row>
    <row r="56" spans="1:43" ht="13.15" customHeight="1" x14ac:dyDescent="0.2">
      <c r="A56" s="19"/>
      <c r="B56" s="60"/>
      <c r="C56" s="24"/>
      <c r="D56" s="23"/>
      <c r="E56" s="155"/>
      <c r="F56" s="160"/>
      <c r="G56" s="160"/>
      <c r="H56" s="160"/>
      <c r="I56" s="160"/>
      <c r="J56" s="181"/>
      <c r="K56" s="182"/>
      <c r="L56" s="160"/>
      <c r="M56" s="160"/>
      <c r="N56" s="181"/>
      <c r="O56" s="98"/>
      <c r="P56" s="98"/>
      <c r="Q56" s="183"/>
      <c r="R56" s="183"/>
      <c r="S56" s="93"/>
      <c r="T56" s="311"/>
      <c r="U56" s="371"/>
      <c r="V56" s="21"/>
      <c r="W56" s="625"/>
      <c r="X56" s="554"/>
      <c r="Y56" s="555"/>
      <c r="Z56" s="555"/>
      <c r="AA56" s="555"/>
      <c r="AB56" s="555"/>
      <c r="AC56" s="555"/>
      <c r="AD56" s="556"/>
      <c r="AE56" s="558"/>
      <c r="AF56" s="555"/>
      <c r="AG56" s="555"/>
      <c r="AH56" s="556"/>
      <c r="AI56" s="560"/>
      <c r="AJ56" s="560"/>
      <c r="AK56" s="558"/>
      <c r="AL56" s="556"/>
      <c r="AM56" s="628"/>
      <c r="AN56" s="586"/>
      <c r="AO56" s="586"/>
      <c r="AP56" s="629"/>
      <c r="AQ56" s="89"/>
    </row>
    <row r="57" spans="1:43" ht="13.15" customHeight="1" x14ac:dyDescent="0.2">
      <c r="A57" s="19"/>
      <c r="B57" s="60"/>
      <c r="C57" s="28"/>
      <c r="D57" s="27"/>
      <c r="E57" s="122"/>
      <c r="F57" s="123"/>
      <c r="G57" s="123"/>
      <c r="H57" s="123"/>
      <c r="I57" s="123"/>
      <c r="J57" s="112"/>
      <c r="K57" s="355"/>
      <c r="L57" s="123"/>
      <c r="M57" s="123"/>
      <c r="N57" s="112"/>
      <c r="O57" s="146"/>
      <c r="P57" s="146"/>
      <c r="Q57" s="123"/>
      <c r="R57" s="123"/>
      <c r="S57" s="88"/>
      <c r="U57" s="89"/>
      <c r="V57" s="21"/>
      <c r="W57" s="127" t="s">
        <v>390</v>
      </c>
      <c r="X57" s="630" t="s">
        <v>349</v>
      </c>
      <c r="Y57" s="552"/>
      <c r="Z57" s="552"/>
      <c r="AA57" s="552"/>
      <c r="AB57" s="552"/>
      <c r="AC57" s="552"/>
      <c r="AD57" s="553"/>
      <c r="AE57" s="572">
        <v>1.7335</v>
      </c>
      <c r="AF57" s="573"/>
      <c r="AG57" s="573"/>
      <c r="AH57" s="574"/>
      <c r="AI57" s="125" t="s">
        <v>236</v>
      </c>
      <c r="AJ57" s="125" t="s">
        <v>246</v>
      </c>
      <c r="AK57" s="575" t="s">
        <v>348</v>
      </c>
      <c r="AL57" s="576"/>
      <c r="AM57" s="90"/>
      <c r="AN57" s="91"/>
      <c r="AO57" s="91"/>
      <c r="AP57" s="129"/>
      <c r="AQ57" s="89"/>
    </row>
    <row r="58" spans="1:43" ht="13.15" customHeight="1" x14ac:dyDescent="0.2">
      <c r="A58" s="375" t="s">
        <v>547</v>
      </c>
      <c r="B58" s="462"/>
      <c r="C58" s="376" t="s">
        <v>313</v>
      </c>
      <c r="D58" s="376" t="s">
        <v>314</v>
      </c>
      <c r="E58" s="587" t="s">
        <v>624</v>
      </c>
      <c r="F58" s="588"/>
      <c r="G58" s="588"/>
      <c r="H58" s="588"/>
      <c r="I58" s="588"/>
      <c r="J58" s="589"/>
      <c r="K58" s="590" t="s">
        <v>625</v>
      </c>
      <c r="L58" s="588"/>
      <c r="M58" s="588"/>
      <c r="N58" s="589"/>
      <c r="O58" s="377" t="s">
        <v>308</v>
      </c>
      <c r="P58" s="377"/>
      <c r="Q58" s="591" t="s">
        <v>549</v>
      </c>
      <c r="R58" s="592"/>
      <c r="S58" s="378"/>
      <c r="T58" s="379"/>
      <c r="U58" s="380"/>
      <c r="V58" s="21"/>
      <c r="W58" s="128" t="s">
        <v>391</v>
      </c>
      <c r="X58" s="546" t="s">
        <v>350</v>
      </c>
      <c r="Y58" s="547"/>
      <c r="Z58" s="547"/>
      <c r="AA58" s="547"/>
      <c r="AB58" s="547"/>
      <c r="AC58" s="547"/>
      <c r="AD58" s="548"/>
      <c r="AE58" s="541">
        <v>1.7335</v>
      </c>
      <c r="AF58" s="542"/>
      <c r="AG58" s="542"/>
      <c r="AH58" s="543"/>
      <c r="AI58" s="126" t="s">
        <v>236</v>
      </c>
      <c r="AJ58" s="126" t="s">
        <v>246</v>
      </c>
      <c r="AK58" s="544" t="s">
        <v>348</v>
      </c>
      <c r="AL58" s="545"/>
      <c r="AM58" s="88"/>
      <c r="AP58" s="130"/>
      <c r="AQ58" s="89"/>
    </row>
    <row r="59" spans="1:43" ht="13.15" customHeight="1" x14ac:dyDescent="0.2">
      <c r="A59" s="26" t="s">
        <v>278</v>
      </c>
      <c r="B59" s="60"/>
      <c r="C59" s="24" t="s">
        <v>210</v>
      </c>
      <c r="D59" s="25">
        <v>50</v>
      </c>
      <c r="E59" s="561"/>
      <c r="F59" s="562"/>
      <c r="G59" s="562"/>
      <c r="H59" s="562"/>
      <c r="I59" s="562"/>
      <c r="J59" s="563"/>
      <c r="K59" s="564"/>
      <c r="L59" s="562"/>
      <c r="M59" s="562"/>
      <c r="N59" s="563"/>
      <c r="O59" s="97"/>
      <c r="P59" s="97"/>
      <c r="Q59" s="565"/>
      <c r="R59" s="576"/>
      <c r="S59" s="90"/>
      <c r="T59" s="91"/>
      <c r="U59" s="92"/>
      <c r="V59" s="21"/>
      <c r="W59" s="128" t="s">
        <v>345</v>
      </c>
      <c r="X59" s="546" t="s">
        <v>431</v>
      </c>
      <c r="Y59" s="547"/>
      <c r="Z59" s="547"/>
      <c r="AA59" s="547"/>
      <c r="AB59" s="547"/>
      <c r="AC59" s="547"/>
      <c r="AD59" s="548"/>
      <c r="AE59" s="541" t="s">
        <v>393</v>
      </c>
      <c r="AF59" s="542"/>
      <c r="AG59" s="542"/>
      <c r="AH59" s="543"/>
      <c r="AI59" s="126" t="s">
        <v>236</v>
      </c>
      <c r="AJ59" s="126" t="s">
        <v>328</v>
      </c>
      <c r="AK59" s="544" t="s">
        <v>347</v>
      </c>
      <c r="AL59" s="545"/>
      <c r="AM59" s="88"/>
      <c r="AP59" s="130"/>
      <c r="AQ59" s="89"/>
    </row>
    <row r="60" spans="1:43" ht="13.15" customHeight="1" x14ac:dyDescent="0.2">
      <c r="A60" s="178" t="s">
        <v>279</v>
      </c>
      <c r="B60" s="374"/>
      <c r="C60" s="24">
        <v>80</v>
      </c>
      <c r="D60" s="23" t="s">
        <v>277</v>
      </c>
      <c r="E60" s="583"/>
      <c r="F60" s="549"/>
      <c r="G60" s="549"/>
      <c r="H60" s="549"/>
      <c r="I60" s="549"/>
      <c r="J60" s="550"/>
      <c r="K60" s="584"/>
      <c r="L60" s="549"/>
      <c r="M60" s="549"/>
      <c r="N60" s="550"/>
      <c r="O60" s="98"/>
      <c r="P60" s="98"/>
      <c r="Q60" s="585"/>
      <c r="R60" s="545"/>
      <c r="S60" s="88"/>
      <c r="U60" s="89"/>
      <c r="V60" s="21"/>
      <c r="W60" s="128" t="s">
        <v>346</v>
      </c>
      <c r="X60" s="546" t="s">
        <v>432</v>
      </c>
      <c r="Y60" s="547"/>
      <c r="Z60" s="547"/>
      <c r="AA60" s="547"/>
      <c r="AB60" s="547"/>
      <c r="AC60" s="547"/>
      <c r="AD60" s="548"/>
      <c r="AE60" s="541" t="s">
        <v>393</v>
      </c>
      <c r="AF60" s="542"/>
      <c r="AG60" s="542"/>
      <c r="AH60" s="543"/>
      <c r="AI60" s="126" t="s">
        <v>236</v>
      </c>
      <c r="AJ60" s="126" t="s">
        <v>328</v>
      </c>
      <c r="AK60" s="544" t="s">
        <v>347</v>
      </c>
      <c r="AL60" s="545"/>
      <c r="AM60" s="329" t="s">
        <v>631</v>
      </c>
      <c r="AP60" s="130"/>
      <c r="AQ60" s="89"/>
    </row>
    <row r="61" spans="1:43" ht="13.15" customHeight="1" x14ac:dyDescent="0.2">
      <c r="A61" s="178" t="s">
        <v>280</v>
      </c>
      <c r="B61" s="374"/>
      <c r="C61" s="24"/>
      <c r="D61" s="23"/>
      <c r="E61" s="619"/>
      <c r="F61" s="883"/>
      <c r="G61" s="883"/>
      <c r="H61" s="883"/>
      <c r="I61" s="883"/>
      <c r="J61" s="884"/>
      <c r="K61" s="885"/>
      <c r="L61" s="883"/>
      <c r="M61" s="883"/>
      <c r="N61" s="884"/>
      <c r="O61" s="156"/>
      <c r="P61" s="156"/>
      <c r="Q61" s="570"/>
      <c r="R61" s="886"/>
      <c r="S61" s="88"/>
      <c r="U61" s="89"/>
      <c r="V61" s="21"/>
      <c r="W61" s="128" t="s">
        <v>328</v>
      </c>
      <c r="X61" s="546" t="s">
        <v>395</v>
      </c>
      <c r="Y61" s="547"/>
      <c r="Z61" s="547"/>
      <c r="AA61" s="547"/>
      <c r="AB61" s="547"/>
      <c r="AC61" s="547"/>
      <c r="AD61" s="548"/>
      <c r="AE61" s="541" t="s">
        <v>392</v>
      </c>
      <c r="AF61" s="542"/>
      <c r="AG61" s="542"/>
      <c r="AH61" s="543"/>
      <c r="AI61" s="126" t="s">
        <v>236</v>
      </c>
      <c r="AJ61" s="126" t="s">
        <v>328</v>
      </c>
      <c r="AK61" s="544" t="s">
        <v>347</v>
      </c>
      <c r="AL61" s="545"/>
      <c r="AM61" s="329" t="s">
        <v>631</v>
      </c>
      <c r="AP61" s="130"/>
      <c r="AQ61" s="89"/>
    </row>
    <row r="62" spans="1:43" ht="13.15" customHeight="1" x14ac:dyDescent="0.2">
      <c r="A62" s="178" t="s">
        <v>281</v>
      </c>
      <c r="B62" s="374"/>
      <c r="C62" s="24"/>
      <c r="D62" s="23"/>
      <c r="E62" s="155"/>
      <c r="F62" s="80"/>
      <c r="G62" s="80"/>
      <c r="H62" s="80"/>
      <c r="I62" s="80"/>
      <c r="J62" s="80"/>
      <c r="K62" s="80"/>
      <c r="L62" s="80"/>
      <c r="M62" s="80"/>
      <c r="N62" s="80"/>
      <c r="O62" s="80"/>
      <c r="P62" s="80"/>
      <c r="Q62" s="80"/>
      <c r="R62" s="80"/>
      <c r="S62" s="88"/>
      <c r="U62" s="89"/>
      <c r="V62" s="21"/>
      <c r="W62" s="128"/>
      <c r="X62" s="260"/>
      <c r="Y62" s="160"/>
      <c r="Z62" s="160"/>
      <c r="AA62" s="160"/>
      <c r="AB62" s="160"/>
      <c r="AE62" s="541"/>
      <c r="AF62" s="542"/>
      <c r="AG62" s="542"/>
      <c r="AH62" s="543"/>
      <c r="AI62" s="126"/>
      <c r="AJ62" s="126"/>
      <c r="AK62" s="544"/>
      <c r="AL62" s="545"/>
      <c r="AM62" s="88"/>
      <c r="AP62" s="130"/>
      <c r="AQ62" s="89"/>
    </row>
    <row r="63" spans="1:43" ht="13.15" customHeight="1" x14ac:dyDescent="0.2">
      <c r="A63" s="178" t="s">
        <v>282</v>
      </c>
      <c r="B63" s="374"/>
      <c r="C63" s="23"/>
      <c r="D63" s="22"/>
      <c r="E63" s="155"/>
      <c r="F63" s="80"/>
      <c r="G63" s="80"/>
      <c r="H63" s="80"/>
      <c r="I63" s="80"/>
      <c r="J63" s="80"/>
      <c r="K63" s="80"/>
      <c r="L63" s="80"/>
      <c r="M63" s="80"/>
      <c r="N63" s="80"/>
      <c r="O63" s="80"/>
      <c r="P63" s="80"/>
      <c r="Q63" s="80"/>
      <c r="R63" s="80"/>
      <c r="S63" s="94"/>
      <c r="T63" s="95"/>
      <c r="U63" s="96"/>
      <c r="V63" s="21"/>
      <c r="W63" s="132"/>
      <c r="X63" s="94"/>
      <c r="Y63" s="95"/>
      <c r="Z63" s="95"/>
      <c r="AA63" s="95"/>
      <c r="AB63" s="95"/>
      <c r="AC63" s="95"/>
      <c r="AD63" s="133"/>
      <c r="AE63" s="134"/>
      <c r="AF63" s="95"/>
      <c r="AG63" s="95"/>
      <c r="AH63" s="133"/>
      <c r="AI63" s="135"/>
      <c r="AJ63" s="135"/>
      <c r="AK63" s="134"/>
      <c r="AL63" s="131"/>
      <c r="AM63" s="95"/>
      <c r="AN63" s="95"/>
      <c r="AO63" s="95"/>
      <c r="AP63" s="131"/>
      <c r="AQ63" s="89"/>
    </row>
    <row r="64" spans="1:43" ht="13.15" customHeight="1" x14ac:dyDescent="0.2">
      <c r="A64" s="741" t="s">
        <v>663</v>
      </c>
      <c r="B64" s="742"/>
      <c r="C64" s="689"/>
      <c r="D64" s="689"/>
      <c r="E64" s="689"/>
      <c r="F64" s="689"/>
      <c r="G64" s="689"/>
      <c r="H64" s="689"/>
      <c r="I64" s="689"/>
      <c r="J64" s="689"/>
      <c r="K64" s="689"/>
      <c r="L64" s="689"/>
      <c r="M64" s="689"/>
      <c r="N64" s="689"/>
      <c r="O64" s="689"/>
      <c r="P64" s="689"/>
      <c r="Q64" s="689"/>
      <c r="R64" s="743"/>
      <c r="S64" s="327" t="s">
        <v>479</v>
      </c>
      <c r="T64" s="91"/>
      <c r="U64" s="92"/>
      <c r="V64" s="21"/>
      <c r="AQ64" s="89"/>
    </row>
    <row r="65" spans="1:43" ht="13.15" customHeight="1" x14ac:dyDescent="0.2">
      <c r="A65" s="744"/>
      <c r="B65" s="692"/>
      <c r="C65" s="692"/>
      <c r="D65" s="692"/>
      <c r="E65" s="692"/>
      <c r="F65" s="692"/>
      <c r="G65" s="692"/>
      <c r="H65" s="692"/>
      <c r="I65" s="692"/>
      <c r="J65" s="692"/>
      <c r="K65" s="692"/>
      <c r="L65" s="692"/>
      <c r="M65" s="692"/>
      <c r="N65" s="692"/>
      <c r="O65" s="692"/>
      <c r="P65" s="692"/>
      <c r="Q65" s="692"/>
      <c r="R65" s="745"/>
      <c r="S65" s="93" t="s">
        <v>480</v>
      </c>
      <c r="U65" s="89"/>
      <c r="V65" s="21"/>
      <c r="W65" s="878" t="s">
        <v>670</v>
      </c>
      <c r="X65" s="879"/>
      <c r="Y65" s="879"/>
      <c r="Z65" s="879"/>
      <c r="AA65" s="879"/>
      <c r="AB65" s="879"/>
      <c r="AC65" s="879"/>
      <c r="AD65" s="879"/>
      <c r="AE65" s="879"/>
      <c r="AF65" s="879"/>
      <c r="AG65" s="879"/>
      <c r="AH65" s="879"/>
      <c r="AI65" s="879"/>
      <c r="AJ65" s="879"/>
      <c r="AK65" s="879"/>
      <c r="AL65" s="879"/>
      <c r="AM65" s="879"/>
      <c r="AN65" s="879"/>
      <c r="AO65" s="879"/>
      <c r="AP65" s="879"/>
      <c r="AQ65" s="89"/>
    </row>
    <row r="66" spans="1:43" ht="13.15" customHeight="1" x14ac:dyDescent="0.2">
      <c r="A66" s="744"/>
      <c r="B66" s="692"/>
      <c r="C66" s="692"/>
      <c r="D66" s="692"/>
      <c r="E66" s="692"/>
      <c r="F66" s="692"/>
      <c r="G66" s="692"/>
      <c r="H66" s="692"/>
      <c r="I66" s="692"/>
      <c r="J66" s="692"/>
      <c r="K66" s="692"/>
      <c r="L66" s="692"/>
      <c r="M66" s="692"/>
      <c r="N66" s="692"/>
      <c r="O66" s="692"/>
      <c r="P66" s="692"/>
      <c r="Q66" s="692"/>
      <c r="R66" s="745"/>
      <c r="S66" s="93" t="s">
        <v>486</v>
      </c>
      <c r="U66" s="89"/>
      <c r="V66" s="21"/>
      <c r="AQ66" s="89"/>
    </row>
    <row r="67" spans="1:43" ht="13.15" customHeight="1" x14ac:dyDescent="0.2">
      <c r="A67" s="744"/>
      <c r="B67" s="692"/>
      <c r="C67" s="692"/>
      <c r="D67" s="692"/>
      <c r="E67" s="692"/>
      <c r="F67" s="692"/>
      <c r="G67" s="692"/>
      <c r="H67" s="692"/>
      <c r="I67" s="692"/>
      <c r="J67" s="692"/>
      <c r="K67" s="692"/>
      <c r="L67" s="692"/>
      <c r="M67" s="692"/>
      <c r="N67" s="692"/>
      <c r="O67" s="692"/>
      <c r="P67" s="692"/>
      <c r="Q67" s="692"/>
      <c r="R67" s="745"/>
      <c r="S67" s="93" t="s">
        <v>487</v>
      </c>
      <c r="U67" s="89"/>
      <c r="V67" s="21"/>
      <c r="AQ67" s="89"/>
    </row>
    <row r="68" spans="1:43" ht="13.15" customHeight="1" x14ac:dyDescent="0.2">
      <c r="A68" s="744"/>
      <c r="B68" s="692"/>
      <c r="C68" s="692"/>
      <c r="D68" s="692"/>
      <c r="E68" s="692"/>
      <c r="F68" s="692"/>
      <c r="G68" s="692"/>
      <c r="H68" s="692"/>
      <c r="I68" s="692"/>
      <c r="J68" s="692"/>
      <c r="K68" s="692"/>
      <c r="L68" s="692"/>
      <c r="M68" s="692"/>
      <c r="N68" s="692"/>
      <c r="O68" s="692"/>
      <c r="P68" s="692"/>
      <c r="Q68" s="692"/>
      <c r="R68" s="745"/>
      <c r="S68" s="93" t="s">
        <v>488</v>
      </c>
      <c r="U68" s="89"/>
      <c r="V68" s="21"/>
      <c r="Y68" s="422" t="s">
        <v>671</v>
      </c>
      <c r="AN68" s="60"/>
      <c r="AQ68" s="89"/>
    </row>
    <row r="69" spans="1:43" ht="13.15" customHeight="1" x14ac:dyDescent="0.2">
      <c r="A69" s="744"/>
      <c r="B69" s="692"/>
      <c r="C69" s="692"/>
      <c r="D69" s="692"/>
      <c r="E69" s="692"/>
      <c r="F69" s="692"/>
      <c r="G69" s="692"/>
      <c r="H69" s="692"/>
      <c r="I69" s="692"/>
      <c r="J69" s="692"/>
      <c r="K69" s="692"/>
      <c r="L69" s="692"/>
      <c r="M69" s="692"/>
      <c r="N69" s="692"/>
      <c r="O69" s="692"/>
      <c r="P69" s="692"/>
      <c r="Q69" s="692"/>
      <c r="R69" s="745"/>
      <c r="S69" s="60" t="s">
        <v>499</v>
      </c>
      <c r="U69" s="89"/>
      <c r="V69" s="21"/>
      <c r="AQ69" s="89"/>
    </row>
    <row r="70" spans="1:43" ht="13.15" customHeight="1" x14ac:dyDescent="0.2">
      <c r="A70" s="622" t="s">
        <v>535</v>
      </c>
      <c r="B70" s="623"/>
      <c r="C70" s="623"/>
      <c r="D70" s="623"/>
      <c r="E70" s="623"/>
      <c r="F70" s="623"/>
      <c r="G70" s="623"/>
      <c r="H70" s="623"/>
      <c r="I70" s="623"/>
      <c r="J70" s="623"/>
      <c r="K70" s="623"/>
      <c r="L70" s="623"/>
      <c r="M70" s="623"/>
      <c r="N70" s="623"/>
      <c r="O70" s="623"/>
      <c r="P70" s="623"/>
      <c r="Q70" s="623"/>
      <c r="R70" s="623"/>
      <c r="S70" s="93" t="s">
        <v>498</v>
      </c>
      <c r="U70" s="89"/>
      <c r="V70" s="21"/>
      <c r="Y70" s="422" t="s">
        <v>672</v>
      </c>
      <c r="AQ70" s="89"/>
    </row>
    <row r="71" spans="1:43" ht="13.15" customHeight="1" x14ac:dyDescent="0.2">
      <c r="A71" s="19" t="s">
        <v>260</v>
      </c>
      <c r="B71" s="435"/>
      <c r="C71" s="583" t="s">
        <v>269</v>
      </c>
      <c r="D71" s="602"/>
      <c r="E71" s="602"/>
      <c r="F71" s="602"/>
      <c r="G71" s="602"/>
      <c r="H71" s="602"/>
      <c r="I71" s="602"/>
      <c r="J71" s="602"/>
      <c r="K71" s="602"/>
      <c r="L71" s="602"/>
      <c r="M71" s="602"/>
      <c r="N71" s="602"/>
      <c r="O71" s="602"/>
      <c r="P71" s="602"/>
      <c r="Q71" s="602"/>
      <c r="R71" s="602"/>
      <c r="S71" s="93" t="s">
        <v>489</v>
      </c>
      <c r="U71" s="89"/>
      <c r="V71" s="21"/>
      <c r="AQ71" s="89"/>
    </row>
    <row r="72" spans="1:43" ht="13.15" customHeight="1" x14ac:dyDescent="0.2">
      <c r="A72" s="375" t="s">
        <v>478</v>
      </c>
      <c r="B72" s="463"/>
      <c r="C72" s="587" t="s">
        <v>269</v>
      </c>
      <c r="D72" s="609"/>
      <c r="E72" s="609"/>
      <c r="F72" s="609"/>
      <c r="G72" s="609"/>
      <c r="H72" s="609"/>
      <c r="I72" s="609"/>
      <c r="J72" s="609"/>
      <c r="K72" s="609"/>
      <c r="L72" s="609"/>
      <c r="M72" s="609"/>
      <c r="N72" s="609"/>
      <c r="O72" s="609"/>
      <c r="P72" s="609"/>
      <c r="Q72" s="609"/>
      <c r="R72" s="609"/>
      <c r="S72" s="93" t="s">
        <v>490</v>
      </c>
      <c r="U72" s="89"/>
      <c r="V72" s="21"/>
      <c r="AQ72" s="89"/>
    </row>
    <row r="73" spans="1:43" ht="13.15" customHeight="1" x14ac:dyDescent="0.2">
      <c r="A73" s="19" t="s">
        <v>372</v>
      </c>
      <c r="B73" s="60"/>
      <c r="C73" s="583" t="s">
        <v>320</v>
      </c>
      <c r="D73" s="600"/>
      <c r="E73" s="600"/>
      <c r="F73" s="600"/>
      <c r="G73" s="600"/>
      <c r="H73" s="600"/>
      <c r="I73" s="600"/>
      <c r="J73" s="600"/>
      <c r="K73" s="600"/>
      <c r="L73" s="600"/>
      <c r="M73" s="600"/>
      <c r="N73" s="600"/>
      <c r="O73" s="600"/>
      <c r="P73" s="600"/>
      <c r="Q73" s="600"/>
      <c r="R73" s="600"/>
      <c r="S73" s="93" t="s">
        <v>491</v>
      </c>
      <c r="U73" s="89"/>
      <c r="V73" s="21"/>
      <c r="AQ73" s="89"/>
    </row>
    <row r="74" spans="1:43" ht="13.15" customHeight="1" x14ac:dyDescent="0.2">
      <c r="A74" s="19" t="s">
        <v>373</v>
      </c>
      <c r="B74" s="60"/>
      <c r="C74" s="610" t="s">
        <v>626</v>
      </c>
      <c r="D74" s="611"/>
      <c r="E74" s="611"/>
      <c r="F74" s="611"/>
      <c r="G74" s="611"/>
      <c r="H74" s="611"/>
      <c r="I74" s="611"/>
      <c r="J74" s="611"/>
      <c r="K74" s="611"/>
      <c r="L74" s="611"/>
      <c r="M74" s="611"/>
      <c r="N74" s="611"/>
      <c r="O74" s="611"/>
      <c r="P74" s="611"/>
      <c r="Q74" s="611"/>
      <c r="R74" s="612"/>
      <c r="S74" s="93" t="s">
        <v>492</v>
      </c>
      <c r="U74" s="89"/>
      <c r="V74" s="21"/>
      <c r="W74" s="60" t="s">
        <v>673</v>
      </c>
      <c r="AQ74" s="89"/>
    </row>
    <row r="75" spans="1:43" ht="13.15" customHeight="1" x14ac:dyDescent="0.2">
      <c r="A75" s="19" t="s">
        <v>261</v>
      </c>
      <c r="B75" s="60"/>
      <c r="C75" s="610" t="s">
        <v>321</v>
      </c>
      <c r="D75" s="613"/>
      <c r="E75" s="613"/>
      <c r="F75" s="613"/>
      <c r="G75" s="613"/>
      <c r="H75" s="613"/>
      <c r="I75" s="613"/>
      <c r="J75" s="613"/>
      <c r="K75" s="613"/>
      <c r="L75" s="613"/>
      <c r="M75" s="613"/>
      <c r="N75" s="613"/>
      <c r="O75" s="613"/>
      <c r="P75" s="613"/>
      <c r="Q75" s="613"/>
      <c r="R75" s="614"/>
      <c r="S75" s="93" t="s">
        <v>493</v>
      </c>
      <c r="U75" s="89"/>
      <c r="V75" s="21"/>
      <c r="W75" s="60" t="s">
        <v>674</v>
      </c>
      <c r="AL75" s="422"/>
      <c r="AQ75" s="89"/>
    </row>
    <row r="76" spans="1:43" ht="13.15" customHeight="1" x14ac:dyDescent="0.2">
      <c r="A76" s="19" t="s">
        <v>262</v>
      </c>
      <c r="B76" s="60"/>
      <c r="C76" s="583" t="s">
        <v>324</v>
      </c>
      <c r="D76" s="600"/>
      <c r="E76" s="600"/>
      <c r="F76" s="600"/>
      <c r="G76" s="600"/>
      <c r="H76" s="600"/>
      <c r="I76" s="600"/>
      <c r="J76" s="600"/>
      <c r="K76" s="600"/>
      <c r="L76" s="600"/>
      <c r="M76" s="600"/>
      <c r="N76" s="600"/>
      <c r="O76" s="600"/>
      <c r="P76" s="600"/>
      <c r="Q76" s="600"/>
      <c r="R76" s="600"/>
      <c r="S76" s="88"/>
      <c r="U76" s="89"/>
      <c r="V76" s="21"/>
      <c r="W76" s="60"/>
      <c r="AD76" s="487"/>
      <c r="AE76" s="876" t="s">
        <v>675</v>
      </c>
      <c r="AF76" s="747"/>
      <c r="AG76" s="747"/>
      <c r="AH76" s="747"/>
      <c r="AI76" s="747"/>
      <c r="AJ76" s="747"/>
      <c r="AQ76" s="89"/>
    </row>
    <row r="77" spans="1:43" ht="13.15" customHeight="1" x14ac:dyDescent="0.2">
      <c r="A77" s="19"/>
      <c r="B77" s="60"/>
      <c r="C77" s="583" t="s">
        <v>228</v>
      </c>
      <c r="D77" s="600"/>
      <c r="E77" s="600"/>
      <c r="F77" s="600"/>
      <c r="G77" s="600"/>
      <c r="H77" s="600"/>
      <c r="I77" s="600"/>
      <c r="J77" s="600"/>
      <c r="K77" s="600"/>
      <c r="L77" s="600"/>
      <c r="M77" s="600"/>
      <c r="N77" s="600"/>
      <c r="O77" s="600"/>
      <c r="P77" s="600"/>
      <c r="Q77" s="600"/>
      <c r="R77" s="600"/>
      <c r="S77" s="88"/>
      <c r="U77" s="89"/>
      <c r="V77" s="21"/>
      <c r="W77" s="60" t="s">
        <v>676</v>
      </c>
      <c r="AD77" s="482"/>
      <c r="AE77" s="747"/>
      <c r="AF77" s="747"/>
      <c r="AG77" s="747"/>
      <c r="AH77" s="747"/>
      <c r="AI77" s="747"/>
      <c r="AJ77" s="747"/>
      <c r="AQ77" s="89"/>
    </row>
    <row r="78" spans="1:43" ht="13.15" customHeight="1" thickBot="1" x14ac:dyDescent="0.25">
      <c r="A78" s="19"/>
      <c r="B78" s="60"/>
      <c r="C78" s="583" t="s">
        <v>270</v>
      </c>
      <c r="D78" s="602"/>
      <c r="E78" s="602"/>
      <c r="F78" s="602"/>
      <c r="G78" s="602"/>
      <c r="H78" s="602"/>
      <c r="I78" s="602"/>
      <c r="J78" s="602"/>
      <c r="K78" s="602"/>
      <c r="L78" s="602"/>
      <c r="M78" s="602"/>
      <c r="N78" s="602"/>
      <c r="O78" s="602"/>
      <c r="P78" s="602"/>
      <c r="Q78" s="602"/>
      <c r="R78" s="602"/>
      <c r="S78" s="326"/>
      <c r="T78" s="143"/>
      <c r="U78" s="144"/>
      <c r="V78" s="21"/>
      <c r="W78" s="143"/>
      <c r="X78" s="143"/>
      <c r="Y78" s="143"/>
      <c r="Z78" s="143"/>
      <c r="AA78" s="143"/>
      <c r="AB78" s="143"/>
      <c r="AC78" s="143"/>
      <c r="AD78" s="143"/>
      <c r="AE78" s="143"/>
      <c r="AF78" s="143"/>
      <c r="AG78" s="143"/>
      <c r="AH78" s="143"/>
      <c r="AI78" s="143"/>
      <c r="AJ78" s="143"/>
      <c r="AK78" s="143"/>
      <c r="AL78" s="143"/>
      <c r="AM78" s="143"/>
      <c r="AN78" s="143"/>
      <c r="AO78" s="143"/>
      <c r="AP78" s="143"/>
      <c r="AQ78" s="89"/>
    </row>
    <row r="79" spans="1:43" ht="13.15" customHeight="1" x14ac:dyDescent="0.2">
      <c r="A79" s="162" t="s">
        <v>209</v>
      </c>
      <c r="B79" s="464"/>
      <c r="C79" s="18" t="s">
        <v>208</v>
      </c>
      <c r="D79" s="16"/>
      <c r="E79" s="18" t="s">
        <v>207</v>
      </c>
      <c r="F79" s="18"/>
      <c r="G79" s="18" t="s">
        <v>206</v>
      </c>
      <c r="H79" s="17" t="e">
        <f>#REF!</f>
        <v>#REF!</v>
      </c>
      <c r="I79" s="16"/>
      <c r="J79" s="16"/>
      <c r="K79" s="16"/>
      <c r="L79" s="16"/>
      <c r="M79" s="16"/>
      <c r="N79" s="16"/>
      <c r="O79" s="16"/>
      <c r="P79" s="16"/>
      <c r="Q79" s="16"/>
      <c r="R79" s="16"/>
      <c r="S79" s="103"/>
      <c r="T79" s="103"/>
      <c r="U79" s="145"/>
      <c r="V79" s="162" t="s">
        <v>209</v>
      </c>
      <c r="W79" s="16"/>
      <c r="X79" s="163"/>
      <c r="Y79" s="18" t="s">
        <v>208</v>
      </c>
      <c r="Z79" s="16"/>
      <c r="AA79" s="18" t="s">
        <v>207</v>
      </c>
      <c r="AB79" s="18"/>
      <c r="AC79" s="18" t="s">
        <v>206</v>
      </c>
      <c r="AD79" s="17" t="e">
        <f>H79</f>
        <v>#REF!</v>
      </c>
      <c r="AE79" s="16"/>
      <c r="AF79" s="16"/>
      <c r="AG79" s="16"/>
      <c r="AH79" s="16"/>
      <c r="AI79" s="16"/>
      <c r="AJ79" s="16"/>
      <c r="AK79" s="16"/>
      <c r="AL79" s="16"/>
      <c r="AM79" s="16"/>
      <c r="AN79" s="103"/>
      <c r="AO79" s="103"/>
      <c r="AP79" s="103"/>
      <c r="AQ79" s="145"/>
    </row>
    <row r="80" spans="1:43" ht="13.15" customHeight="1" thickBot="1" x14ac:dyDescent="0.25">
      <c r="A80" s="159" t="e">
        <f>#REF!</f>
        <v>#REF!</v>
      </c>
      <c r="B80" s="175"/>
      <c r="C80" s="603" t="e">
        <f>#REF!</f>
        <v>#REF!</v>
      </c>
      <c r="D80" s="604"/>
      <c r="E80" s="605" t="e">
        <f>#REF!</f>
        <v>#REF!</v>
      </c>
      <c r="F80" s="606"/>
      <c r="G80" s="15"/>
      <c r="H80" s="14"/>
      <c r="I80" s="14"/>
      <c r="J80" s="14"/>
      <c r="K80" s="14"/>
      <c r="L80" s="14"/>
      <c r="M80" s="14"/>
      <c r="N80" s="14"/>
      <c r="O80" s="14"/>
      <c r="P80" s="14"/>
      <c r="Q80" s="14"/>
      <c r="R80" s="14"/>
      <c r="S80" s="143"/>
      <c r="T80" s="143"/>
      <c r="U80" s="144"/>
      <c r="V80" s="121"/>
      <c r="W80" s="14" t="e">
        <f>A80</f>
        <v>#REF!</v>
      </c>
      <c r="X80" s="164"/>
      <c r="Y80" s="603" t="e">
        <f>C80</f>
        <v>#REF!</v>
      </c>
      <c r="Z80" s="607"/>
      <c r="AA80" s="605" t="e">
        <f>E80</f>
        <v>#REF!</v>
      </c>
      <c r="AB80" s="608"/>
      <c r="AC80" s="15"/>
      <c r="AD80" s="14"/>
      <c r="AE80" s="14"/>
      <c r="AF80" s="14"/>
      <c r="AG80" s="14"/>
      <c r="AH80" s="14"/>
      <c r="AI80" s="14"/>
      <c r="AJ80" s="14"/>
      <c r="AK80" s="14"/>
      <c r="AL80" s="14"/>
      <c r="AM80" s="14"/>
      <c r="AN80" s="143"/>
      <c r="AO80" s="143"/>
      <c r="AP80" s="143"/>
      <c r="AQ80" s="144"/>
    </row>
  </sheetData>
  <mergeCells count="154">
    <mergeCell ref="AM55:AP56"/>
    <mergeCell ref="O6:P6"/>
    <mergeCell ref="AK6:AL6"/>
    <mergeCell ref="A64:R69"/>
    <mergeCell ref="V43:V46"/>
    <mergeCell ref="F7:N7"/>
    <mergeCell ref="E20:J20"/>
    <mergeCell ref="K20:N20"/>
    <mergeCell ref="K33:N33"/>
    <mergeCell ref="AB7:AJ7"/>
    <mergeCell ref="E36:J36"/>
    <mergeCell ref="Q36:R36"/>
    <mergeCell ref="V8:Y8"/>
    <mergeCell ref="V9:Y9"/>
    <mergeCell ref="V10:Y10"/>
    <mergeCell ref="V12:Y12"/>
    <mergeCell ref="V13:Y13"/>
    <mergeCell ref="V14:Y14"/>
    <mergeCell ref="V15:Y15"/>
    <mergeCell ref="S39:U40"/>
    <mergeCell ref="E61:J61"/>
    <mergeCell ref="K61:N61"/>
    <mergeCell ref="X18:AP18"/>
    <mergeCell ref="Q61:R61"/>
    <mergeCell ref="E59:J59"/>
    <mergeCell ref="AA80:AB80"/>
    <mergeCell ref="C78:R78"/>
    <mergeCell ref="C80:D80"/>
    <mergeCell ref="E80:F80"/>
    <mergeCell ref="Y80:Z80"/>
    <mergeCell ref="C71:R71"/>
    <mergeCell ref="C72:R72"/>
    <mergeCell ref="C73:R73"/>
    <mergeCell ref="C75:R75"/>
    <mergeCell ref="C76:R76"/>
    <mergeCell ref="C77:R77"/>
    <mergeCell ref="C74:R74"/>
    <mergeCell ref="K59:N59"/>
    <mergeCell ref="Q59:R59"/>
    <mergeCell ref="E60:J60"/>
    <mergeCell ref="Q60:R60"/>
    <mergeCell ref="K60:N60"/>
    <mergeCell ref="W65:AP65"/>
    <mergeCell ref="AK61:AL61"/>
    <mergeCell ref="AE62:AH62"/>
    <mergeCell ref="AK62:AL62"/>
    <mergeCell ref="X61:AD61"/>
    <mergeCell ref="AE61:AH61"/>
    <mergeCell ref="E31:J31"/>
    <mergeCell ref="K31:N31"/>
    <mergeCell ref="K42:N42"/>
    <mergeCell ref="Q42:R42"/>
    <mergeCell ref="Q39:R39"/>
    <mergeCell ref="K39:N39"/>
    <mergeCell ref="E42:J42"/>
    <mergeCell ref="K38:N38"/>
    <mergeCell ref="Q38:R38"/>
    <mergeCell ref="K37:N37"/>
    <mergeCell ref="Q37:R37"/>
    <mergeCell ref="E38:J38"/>
    <mergeCell ref="Q35:R35"/>
    <mergeCell ref="E37:J37"/>
    <mergeCell ref="E35:J35"/>
    <mergeCell ref="K36:N36"/>
    <mergeCell ref="E34:J34"/>
    <mergeCell ref="K35:N35"/>
    <mergeCell ref="Q34:R34"/>
    <mergeCell ref="AE57:AH57"/>
    <mergeCell ref="AK57:AL57"/>
    <mergeCell ref="Q45:R45"/>
    <mergeCell ref="X58:AD58"/>
    <mergeCell ref="S55:U55"/>
    <mergeCell ref="E46:J46"/>
    <mergeCell ref="K46:N46"/>
    <mergeCell ref="Q46:R46"/>
    <mergeCell ref="E49:J49"/>
    <mergeCell ref="K49:N49"/>
    <mergeCell ref="Q49:R49"/>
    <mergeCell ref="W55:W56"/>
    <mergeCell ref="X55:AD56"/>
    <mergeCell ref="Q51:R51"/>
    <mergeCell ref="Q48:R48"/>
    <mergeCell ref="S17:U18"/>
    <mergeCell ref="E19:J19"/>
    <mergeCell ref="K19:N19"/>
    <mergeCell ref="Q19:R19"/>
    <mergeCell ref="E29:J29"/>
    <mergeCell ref="Q20:R20"/>
    <mergeCell ref="V16:Y16"/>
    <mergeCell ref="X57:AD57"/>
    <mergeCell ref="E21:J21"/>
    <mergeCell ref="K29:N29"/>
    <mergeCell ref="S29:S38"/>
    <mergeCell ref="X42:AP42"/>
    <mergeCell ref="V19:V40"/>
    <mergeCell ref="X49:Z49"/>
    <mergeCell ref="E24:J24"/>
    <mergeCell ref="K24:N24"/>
    <mergeCell ref="Q31:R31"/>
    <mergeCell ref="E33:J33"/>
    <mergeCell ref="K34:N34"/>
    <mergeCell ref="Q33:R33"/>
    <mergeCell ref="E43:J43"/>
    <mergeCell ref="K43:N43"/>
    <mergeCell ref="Q43:R43"/>
    <mergeCell ref="E39:J39"/>
    <mergeCell ref="AE59:AH59"/>
    <mergeCell ref="AK59:AL59"/>
    <mergeCell ref="X60:AD60"/>
    <mergeCell ref="AE60:AH60"/>
    <mergeCell ref="AK60:AL60"/>
    <mergeCell ref="AK55:AL56"/>
    <mergeCell ref="AE58:AH58"/>
    <mergeCell ref="AK58:AL58"/>
    <mergeCell ref="C7:D7"/>
    <mergeCell ref="Y7:Z7"/>
    <mergeCell ref="K30:N30"/>
    <mergeCell ref="Q30:R30"/>
    <mergeCell ref="C17:D17"/>
    <mergeCell ref="E17:J18"/>
    <mergeCell ref="K17:N18"/>
    <mergeCell ref="O17:O18"/>
    <mergeCell ref="P17:P18"/>
    <mergeCell ref="E30:J30"/>
    <mergeCell ref="K21:N21"/>
    <mergeCell ref="Q21:R21"/>
    <mergeCell ref="E25:J25"/>
    <mergeCell ref="K25:N25"/>
    <mergeCell ref="Q25:R25"/>
    <mergeCell ref="Q17:R18"/>
    <mergeCell ref="A70:R70"/>
    <mergeCell ref="AE55:AH56"/>
    <mergeCell ref="AI55:AI56"/>
    <mergeCell ref="AJ55:AJ56"/>
    <mergeCell ref="AE76:AJ77"/>
    <mergeCell ref="C11:U11"/>
    <mergeCell ref="Q29:R29"/>
    <mergeCell ref="Q24:R24"/>
    <mergeCell ref="E58:J58"/>
    <mergeCell ref="K58:N58"/>
    <mergeCell ref="Q58:R58"/>
    <mergeCell ref="E45:J45"/>
    <mergeCell ref="E48:J48"/>
    <mergeCell ref="E51:J51"/>
    <mergeCell ref="E53:J53"/>
    <mergeCell ref="E55:J55"/>
    <mergeCell ref="K45:N45"/>
    <mergeCell ref="K48:N48"/>
    <mergeCell ref="K51:N51"/>
    <mergeCell ref="K53:N53"/>
    <mergeCell ref="K55:N55"/>
    <mergeCell ref="Q55:R55"/>
    <mergeCell ref="Q53:R53"/>
    <mergeCell ref="X59:AD59"/>
  </mergeCells>
  <pageMargins left="0.70866141732283472" right="0.15748031496062992" top="0.51181102362204722" bottom="0.43307086614173229" header="0.27559055118110237" footer="0.27559055118110237"/>
  <pageSetup paperSize="9" scale="75" pageOrder="overThenDown" orientation="portrait" r:id="rId1"/>
  <headerFooter alignWithMargins="0">
    <oddHeader>&amp;LPIRS Vorlagen-Projekt&amp;C&amp;8Project: Template&amp;R&amp;G</oddHeader>
    <oddFooter xml:space="preserve">&amp;L&amp;8 &amp;F _&amp;A&amp;R&amp;8Page &amp;P+8 of [&amp;N+8] </oddFooter>
  </headerFooter>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FBE8B-8F68-476D-8E5E-8AF5DA15FDDA}">
  <sheetPr codeName="Tabelle7"/>
  <dimension ref="A1:AQ80"/>
  <sheetViews>
    <sheetView showWhiteSpace="0" view="pageLayout" topLeftCell="A29" zoomScaleNormal="100" workbookViewId="0">
      <selection activeCell="H2" sqref="H2"/>
    </sheetView>
  </sheetViews>
  <sheetFormatPr defaultColWidth="0" defaultRowHeight="12.75" x14ac:dyDescent="0.2"/>
  <cols>
    <col min="1" max="1" width="14.28515625" style="13" customWidth="1"/>
    <col min="2" max="2" width="3.5703125" style="13" customWidth="1"/>
    <col min="3" max="21" width="5.7109375" style="13" customWidth="1"/>
    <col min="22" max="22" width="4.140625" style="13" customWidth="1"/>
    <col min="23" max="23" width="6.140625" style="13" customWidth="1"/>
    <col min="24" max="42" width="5.7109375" style="13" customWidth="1"/>
    <col min="43" max="59" width="6.140625" style="13" customWidth="1"/>
    <col min="60" max="16384" width="0" style="13" hidden="1"/>
  </cols>
  <sheetData>
    <row r="1" spans="1:43" ht="13.15" customHeight="1" x14ac:dyDescent="0.2">
      <c r="A1" s="73"/>
      <c r="B1" s="72"/>
      <c r="C1" s="72"/>
      <c r="D1" s="71"/>
      <c r="E1" s="16"/>
      <c r="F1" s="16"/>
      <c r="G1" s="539" t="s">
        <v>740</v>
      </c>
      <c r="H1" s="539"/>
      <c r="I1" s="539"/>
      <c r="J1" s="539"/>
      <c r="K1" s="114" t="s">
        <v>253</v>
      </c>
      <c r="L1" s="116"/>
      <c r="M1" s="16"/>
      <c r="N1" s="16"/>
      <c r="O1" s="16"/>
      <c r="P1" s="16" t="s">
        <v>715</v>
      </c>
      <c r="Q1" s="69"/>
      <c r="R1" s="68" t="s">
        <v>230</v>
      </c>
      <c r="S1" s="68"/>
      <c r="T1" s="67" t="s">
        <v>352</v>
      </c>
      <c r="U1" s="66"/>
      <c r="V1" s="162"/>
      <c r="W1" s="16"/>
      <c r="X1" s="72"/>
      <c r="Y1" s="72"/>
      <c r="Z1" s="71"/>
      <c r="AA1" s="16"/>
      <c r="AB1" s="16"/>
      <c r="AC1" s="16"/>
      <c r="AD1" s="16"/>
      <c r="AE1" s="16"/>
      <c r="AF1" s="342"/>
      <c r="AG1" s="230" t="s">
        <v>253</v>
      </c>
      <c r="AH1" s="70"/>
      <c r="AI1" s="16"/>
      <c r="AJ1" s="16"/>
      <c r="AK1" s="16"/>
      <c r="AL1" s="68" t="str">
        <f>P1</f>
        <v>PT07</v>
      </c>
      <c r="AM1" s="69"/>
      <c r="AN1" s="68" t="s">
        <v>230</v>
      </c>
      <c r="AO1" s="68"/>
      <c r="AP1" s="67" t="str">
        <f>T1</f>
        <v>15E0 (1.4571)</v>
      </c>
      <c r="AQ1" s="66"/>
    </row>
    <row r="2" spans="1:43" ht="13.15" customHeight="1" x14ac:dyDescent="0.2">
      <c r="A2" s="63" t="s">
        <v>276</v>
      </c>
      <c r="B2" s="61"/>
      <c r="C2" s="62" t="s">
        <v>267</v>
      </c>
      <c r="D2" s="61"/>
      <c r="E2" s="60"/>
      <c r="F2" s="60"/>
      <c r="G2" s="524" t="s">
        <v>740</v>
      </c>
      <c r="H2" s="524"/>
      <c r="I2" s="524"/>
      <c r="J2" s="530"/>
      <c r="K2" s="100" t="s">
        <v>232</v>
      </c>
      <c r="L2" s="74"/>
      <c r="M2" s="65"/>
      <c r="N2" s="65"/>
      <c r="O2" s="65"/>
      <c r="P2" s="523">
        <v>17</v>
      </c>
      <c r="Q2" s="58" t="s">
        <v>231</v>
      </c>
      <c r="R2" s="65" t="s">
        <v>252</v>
      </c>
      <c r="S2" s="65"/>
      <c r="T2" s="81" t="s">
        <v>301</v>
      </c>
      <c r="U2" s="64"/>
      <c r="V2" s="19" t="s">
        <v>276</v>
      </c>
      <c r="W2" s="60"/>
      <c r="X2" s="61"/>
      <c r="Y2" s="62" t="str">
        <f>C2</f>
        <v>Deminwater (T &lt; 100°C)</v>
      </c>
      <c r="Z2" s="61"/>
      <c r="AA2" s="60"/>
      <c r="AB2" s="60"/>
      <c r="AC2" s="60"/>
      <c r="AD2" s="60"/>
      <c r="AE2" s="60"/>
      <c r="AF2" s="343"/>
      <c r="AG2" s="81" t="s">
        <v>232</v>
      </c>
      <c r="AH2" s="81"/>
      <c r="AI2" s="65"/>
      <c r="AJ2" s="65"/>
      <c r="AK2" s="65"/>
      <c r="AL2" s="523">
        <f>P2</f>
        <v>17</v>
      </c>
      <c r="AM2" s="58" t="s">
        <v>231</v>
      </c>
      <c r="AN2" s="65" t="s">
        <v>252</v>
      </c>
      <c r="AO2" s="65"/>
      <c r="AP2" s="81" t="str">
        <f>T2</f>
        <v>EN PN16</v>
      </c>
      <c r="AQ2" s="64"/>
    </row>
    <row r="3" spans="1:43" ht="13.15" customHeight="1" x14ac:dyDescent="0.2">
      <c r="A3" s="63"/>
      <c r="B3" s="61"/>
      <c r="C3" s="62"/>
      <c r="D3" s="61"/>
      <c r="E3" s="60"/>
      <c r="F3" s="60"/>
      <c r="G3" s="531" t="s">
        <v>741</v>
      </c>
      <c r="H3" s="531"/>
      <c r="I3" s="531"/>
      <c r="J3" s="532"/>
      <c r="K3" s="100" t="s">
        <v>233</v>
      </c>
      <c r="L3" s="75"/>
      <c r="M3" s="65"/>
      <c r="N3" s="65"/>
      <c r="O3" s="65"/>
      <c r="P3" s="523">
        <v>100</v>
      </c>
      <c r="Q3" s="58" t="s">
        <v>223</v>
      </c>
      <c r="R3" s="76" t="s">
        <v>229</v>
      </c>
      <c r="S3" s="77"/>
      <c r="T3" s="81" t="s">
        <v>425</v>
      </c>
      <c r="U3" s="57"/>
      <c r="V3" s="51"/>
      <c r="W3" s="80"/>
      <c r="X3" s="61"/>
      <c r="Y3" s="62"/>
      <c r="Z3" s="61"/>
      <c r="AA3" s="60"/>
      <c r="AB3" s="60"/>
      <c r="AC3" s="60"/>
      <c r="AD3" s="60"/>
      <c r="AE3" s="60"/>
      <c r="AF3" s="343"/>
      <c r="AG3" s="81" t="s">
        <v>233</v>
      </c>
      <c r="AH3" s="101"/>
      <c r="AI3" s="65"/>
      <c r="AJ3" s="65"/>
      <c r="AK3" s="65"/>
      <c r="AL3" s="523">
        <f>P3</f>
        <v>100</v>
      </c>
      <c r="AM3" s="58" t="s">
        <v>223</v>
      </c>
      <c r="AN3" s="76" t="s">
        <v>229</v>
      </c>
      <c r="AO3" s="77"/>
      <c r="AP3" s="81" t="str">
        <f>T3</f>
        <v>welded</v>
      </c>
      <c r="AQ3" s="57"/>
    </row>
    <row r="4" spans="1:43" ht="13.15" customHeight="1" thickBot="1" x14ac:dyDescent="0.25">
      <c r="A4" s="56"/>
      <c r="B4" s="55"/>
      <c r="C4" s="55"/>
      <c r="D4" s="54"/>
      <c r="E4" s="53"/>
      <c r="F4" s="53"/>
      <c r="G4" s="533" t="s">
        <v>742</v>
      </c>
      <c r="H4" s="534"/>
      <c r="I4" s="534"/>
      <c r="J4" s="535"/>
      <c r="K4" s="60" t="s">
        <v>226</v>
      </c>
      <c r="L4" s="81"/>
      <c r="M4" s="102"/>
      <c r="N4" s="60"/>
      <c r="O4" s="60"/>
      <c r="P4" s="524">
        <v>22.9</v>
      </c>
      <c r="Q4" s="211" t="s">
        <v>235</v>
      </c>
      <c r="R4" s="82" t="s">
        <v>234</v>
      </c>
      <c r="S4" s="83"/>
      <c r="T4" s="113" t="s">
        <v>477</v>
      </c>
      <c r="U4" s="79"/>
      <c r="V4" s="119"/>
      <c r="W4" s="166"/>
      <c r="X4" s="55"/>
      <c r="Y4" s="55"/>
      <c r="Z4" s="54"/>
      <c r="AA4" s="53"/>
      <c r="AB4" s="53"/>
      <c r="AC4" s="53"/>
      <c r="AD4" s="14"/>
      <c r="AE4" s="14"/>
      <c r="AF4" s="344"/>
      <c r="AG4" s="60" t="s">
        <v>226</v>
      </c>
      <c r="AH4" s="102"/>
      <c r="AI4" s="60"/>
      <c r="AJ4" s="60"/>
      <c r="AK4" s="60"/>
      <c r="AL4" s="525">
        <f>P4</f>
        <v>22.9</v>
      </c>
      <c r="AM4" s="58" t="s">
        <v>235</v>
      </c>
      <c r="AN4" s="82" t="s">
        <v>234</v>
      </c>
      <c r="AO4" s="83"/>
      <c r="AP4" s="113" t="str">
        <f>T4</f>
        <v>EHDH</v>
      </c>
      <c r="AQ4" s="79"/>
    </row>
    <row r="5" spans="1:43" ht="13.15" customHeight="1" x14ac:dyDescent="0.2">
      <c r="A5" s="51" t="s">
        <v>225</v>
      </c>
      <c r="B5" s="80"/>
      <c r="C5" s="50" t="s">
        <v>224</v>
      </c>
      <c r="D5" s="49" t="s">
        <v>223</v>
      </c>
      <c r="E5" s="48"/>
      <c r="F5" s="47" t="s">
        <v>303</v>
      </c>
      <c r="G5" s="157">
        <v>100</v>
      </c>
      <c r="H5" s="195">
        <v>150</v>
      </c>
      <c r="I5" s="176">
        <v>200</v>
      </c>
      <c r="J5" s="176">
        <v>250</v>
      </c>
      <c r="K5" s="177">
        <v>300</v>
      </c>
      <c r="L5" s="176">
        <v>350</v>
      </c>
      <c r="M5" s="205">
        <v>400</v>
      </c>
      <c r="N5" s="177"/>
      <c r="O5" s="176"/>
      <c r="P5" s="107"/>
      <c r="Q5" s="215"/>
      <c r="R5" s="104"/>
      <c r="S5" s="107"/>
      <c r="T5" s="107"/>
      <c r="U5" s="105"/>
      <c r="V5" s="51" t="s">
        <v>225</v>
      </c>
      <c r="W5" s="80"/>
      <c r="X5" s="80"/>
      <c r="Y5" s="50" t="s">
        <v>224</v>
      </c>
      <c r="Z5" s="49" t="s">
        <v>223</v>
      </c>
      <c r="AA5" s="48"/>
      <c r="AB5" s="47" t="s">
        <v>303</v>
      </c>
      <c r="AC5" s="157">
        <v>100</v>
      </c>
      <c r="AD5" s="195">
        <v>150</v>
      </c>
      <c r="AE5" s="176">
        <v>200</v>
      </c>
      <c r="AF5" s="176">
        <v>250</v>
      </c>
      <c r="AG5" s="177">
        <v>300</v>
      </c>
      <c r="AH5" s="176">
        <v>350</v>
      </c>
      <c r="AI5" s="205">
        <v>400</v>
      </c>
      <c r="AJ5" s="177"/>
      <c r="AK5" s="176"/>
      <c r="AL5" s="107"/>
      <c r="AM5" s="215"/>
      <c r="AN5" s="104"/>
      <c r="AO5" s="107"/>
      <c r="AP5" s="107"/>
      <c r="AQ5" s="105"/>
    </row>
    <row r="6" spans="1:43" ht="20.25" customHeight="1" x14ac:dyDescent="0.2">
      <c r="A6" s="51"/>
      <c r="B6" s="80"/>
      <c r="C6" s="185" t="s">
        <v>285</v>
      </c>
      <c r="D6" s="186" t="s">
        <v>235</v>
      </c>
      <c r="E6" s="187" t="s">
        <v>502</v>
      </c>
      <c r="F6" s="188">
        <v>16</v>
      </c>
      <c r="G6" s="194">
        <v>16</v>
      </c>
      <c r="H6" s="244">
        <v>15.6</v>
      </c>
      <c r="I6" s="192">
        <v>14.9</v>
      </c>
      <c r="J6" s="192">
        <v>14.1</v>
      </c>
      <c r="K6" s="206">
        <v>13.3</v>
      </c>
      <c r="L6" s="237">
        <v>12.8</v>
      </c>
      <c r="M6" s="233">
        <v>12.4</v>
      </c>
      <c r="N6" s="237"/>
      <c r="O6" s="192"/>
      <c r="P6" s="216"/>
      <c r="Q6" s="216"/>
      <c r="R6" s="189"/>
      <c r="S6" s="190"/>
      <c r="T6" s="190"/>
      <c r="U6" s="191"/>
      <c r="V6" s="21"/>
      <c r="X6" s="80"/>
      <c r="Y6" s="185" t="s">
        <v>285</v>
      </c>
      <c r="Z6" s="186" t="s">
        <v>235</v>
      </c>
      <c r="AA6" s="187" t="s">
        <v>502</v>
      </c>
      <c r="AB6" s="188">
        <v>16</v>
      </c>
      <c r="AC6" s="194">
        <v>16</v>
      </c>
      <c r="AD6" s="244">
        <v>15.6</v>
      </c>
      <c r="AE6" s="192">
        <v>14.9</v>
      </c>
      <c r="AF6" s="192">
        <v>14.1</v>
      </c>
      <c r="AG6" s="206">
        <v>13.3</v>
      </c>
      <c r="AH6" s="237">
        <v>12.8</v>
      </c>
      <c r="AI6" s="233">
        <v>12.4</v>
      </c>
      <c r="AJ6" s="237"/>
      <c r="AK6" s="192"/>
      <c r="AL6" s="216"/>
      <c r="AM6" s="216"/>
      <c r="AN6" s="189"/>
      <c r="AO6" s="190"/>
      <c r="AP6" s="190"/>
      <c r="AQ6" s="191"/>
    </row>
    <row r="7" spans="1:43" ht="12.75" customHeight="1" thickBot="1" x14ac:dyDescent="0.25">
      <c r="A7" s="46"/>
      <c r="B7" s="120"/>
      <c r="C7" s="671" t="s">
        <v>284</v>
      </c>
      <c r="D7" s="672"/>
      <c r="E7" s="45"/>
      <c r="F7" s="212" t="s">
        <v>286</v>
      </c>
      <c r="G7" s="213"/>
      <c r="H7" s="236" t="s">
        <v>287</v>
      </c>
      <c r="I7" s="213"/>
      <c r="J7" s="213"/>
      <c r="K7" s="213"/>
      <c r="L7" s="271"/>
      <c r="M7" s="234"/>
      <c r="O7" s="229"/>
      <c r="P7" s="229"/>
      <c r="Q7" s="229"/>
      <c r="R7" s="212"/>
      <c r="S7" s="108"/>
      <c r="T7" s="108"/>
      <c r="U7" s="106"/>
      <c r="V7" s="121"/>
      <c r="W7" s="143"/>
      <c r="X7" s="193"/>
      <c r="Y7" s="671" t="s">
        <v>284</v>
      </c>
      <c r="Z7" s="672"/>
      <c r="AA7" s="45"/>
      <c r="AB7" s="212" t="s">
        <v>286</v>
      </c>
      <c r="AC7" s="213"/>
      <c r="AD7" s="236" t="s">
        <v>287</v>
      </c>
      <c r="AE7" s="213"/>
      <c r="AF7" s="213"/>
      <c r="AG7" s="213"/>
      <c r="AH7" s="271"/>
      <c r="AI7" s="234"/>
      <c r="AK7" s="229"/>
      <c r="AL7" s="229"/>
      <c r="AM7" s="229"/>
      <c r="AN7" s="212"/>
      <c r="AO7" s="108"/>
      <c r="AP7" s="108"/>
      <c r="AQ7" s="106"/>
    </row>
    <row r="8" spans="1:43" ht="13.15" customHeight="1" x14ac:dyDescent="0.2">
      <c r="A8" s="413" t="s">
        <v>633</v>
      </c>
      <c r="B8" s="158" t="s">
        <v>220</v>
      </c>
      <c r="C8" s="200" t="s">
        <v>448</v>
      </c>
      <c r="D8" s="38" t="s">
        <v>452</v>
      </c>
      <c r="E8" s="38" t="s">
        <v>648</v>
      </c>
      <c r="F8" s="38">
        <v>25</v>
      </c>
      <c r="G8" s="38" t="s">
        <v>649</v>
      </c>
      <c r="H8" s="38">
        <v>40</v>
      </c>
      <c r="I8" s="38">
        <v>50</v>
      </c>
      <c r="J8" s="38" t="s">
        <v>299</v>
      </c>
      <c r="K8" s="38">
        <v>80</v>
      </c>
      <c r="L8" s="38">
        <v>100</v>
      </c>
      <c r="M8" s="38" t="s">
        <v>300</v>
      </c>
      <c r="N8" s="38">
        <v>150</v>
      </c>
      <c r="O8" s="38">
        <v>200</v>
      </c>
      <c r="P8" s="38">
        <v>250</v>
      </c>
      <c r="Q8" s="38">
        <v>300</v>
      </c>
      <c r="R8" s="38">
        <v>350</v>
      </c>
      <c r="S8" s="78">
        <v>400</v>
      </c>
      <c r="T8" s="38"/>
      <c r="U8" s="37"/>
      <c r="V8" s="149"/>
      <c r="W8" s="167"/>
      <c r="X8" s="103"/>
      <c r="Y8" s="103"/>
      <c r="Z8" s="103"/>
      <c r="AA8" s="103"/>
      <c r="AB8" s="103"/>
      <c r="AC8" s="103"/>
      <c r="AD8" s="103"/>
      <c r="AE8" s="103"/>
      <c r="AF8" s="103"/>
      <c r="AG8" s="103"/>
      <c r="AH8" s="103"/>
      <c r="AI8" s="103"/>
      <c r="AJ8" s="103"/>
      <c r="AK8" s="103"/>
      <c r="AL8" s="103"/>
      <c r="AM8" s="103"/>
      <c r="AN8" s="103"/>
      <c r="AO8" s="103"/>
      <c r="AP8" s="103"/>
      <c r="AQ8" s="145"/>
    </row>
    <row r="9" spans="1:43" ht="13.15" customHeight="1" x14ac:dyDescent="0.2">
      <c r="A9" s="416" t="s">
        <v>634</v>
      </c>
      <c r="B9" s="293" t="s">
        <v>222</v>
      </c>
      <c r="C9" s="35">
        <v>12</v>
      </c>
      <c r="D9" s="34">
        <v>21.3</v>
      </c>
      <c r="E9" s="42">
        <v>26.9</v>
      </c>
      <c r="F9" s="34">
        <v>33.700000000000003</v>
      </c>
      <c r="G9" s="34">
        <v>42.4</v>
      </c>
      <c r="H9" s="34">
        <v>48.3</v>
      </c>
      <c r="I9" s="34">
        <v>60.3</v>
      </c>
      <c r="J9" s="34">
        <v>76.099999999999994</v>
      </c>
      <c r="K9" s="34">
        <v>88.9</v>
      </c>
      <c r="L9" s="34">
        <v>114.3</v>
      </c>
      <c r="M9" s="34">
        <v>139.69999999999999</v>
      </c>
      <c r="N9" s="34">
        <v>168.3</v>
      </c>
      <c r="O9" s="34">
        <v>219.1</v>
      </c>
      <c r="P9" s="34">
        <v>273</v>
      </c>
      <c r="Q9" s="34">
        <v>323.89999999999998</v>
      </c>
      <c r="R9" s="34">
        <v>355.6</v>
      </c>
      <c r="S9" s="34">
        <v>406.4</v>
      </c>
      <c r="T9" s="899" t="s">
        <v>268</v>
      </c>
      <c r="U9" s="757"/>
      <c r="V9" s="152"/>
      <c r="W9" s="168"/>
      <c r="AQ9" s="89"/>
    </row>
    <row r="10" spans="1:43" ht="13.15" customHeight="1" x14ac:dyDescent="0.2">
      <c r="A10" s="417" t="s">
        <v>635</v>
      </c>
      <c r="B10" s="294" t="s">
        <v>222</v>
      </c>
      <c r="C10" s="238">
        <v>1.5</v>
      </c>
      <c r="D10" s="239">
        <v>1.6</v>
      </c>
      <c r="E10" s="239">
        <v>1.6</v>
      </c>
      <c r="F10" s="239">
        <v>2</v>
      </c>
      <c r="G10" s="239">
        <v>2</v>
      </c>
      <c r="H10" s="239">
        <v>2</v>
      </c>
      <c r="I10" s="239">
        <v>2</v>
      </c>
      <c r="J10" s="239">
        <v>2.2999999999999998</v>
      </c>
      <c r="K10" s="239">
        <v>2.2999999999999998</v>
      </c>
      <c r="L10" s="239">
        <v>2.6</v>
      </c>
      <c r="M10" s="239">
        <v>2.6</v>
      </c>
      <c r="N10" s="239">
        <v>2.6</v>
      </c>
      <c r="O10" s="239">
        <v>3.6</v>
      </c>
      <c r="P10" s="239">
        <v>3.6</v>
      </c>
      <c r="Q10" s="239">
        <v>4</v>
      </c>
      <c r="R10" s="239">
        <v>4</v>
      </c>
      <c r="S10" s="239">
        <v>5</v>
      </c>
      <c r="T10" s="665"/>
      <c r="U10" s="754"/>
      <c r="V10" s="152"/>
      <c r="W10" s="169"/>
      <c r="AQ10" s="89"/>
    </row>
    <row r="11" spans="1:43" ht="13.15" customHeight="1" x14ac:dyDescent="0.2">
      <c r="A11" s="84" t="s">
        <v>636</v>
      </c>
      <c r="B11" s="295" t="s">
        <v>236</v>
      </c>
      <c r="C11" s="838" t="s">
        <v>302</v>
      </c>
      <c r="D11" s="737"/>
      <c r="E11" s="737"/>
      <c r="F11" s="737"/>
      <c r="G11" s="737"/>
      <c r="H11" s="737"/>
      <c r="I11" s="737"/>
      <c r="J11" s="737"/>
      <c r="K11" s="737"/>
      <c r="L11" s="737"/>
      <c r="M11" s="737"/>
      <c r="N11" s="737"/>
      <c r="O11" s="737"/>
      <c r="P11" s="737"/>
      <c r="Q11" s="737"/>
      <c r="R11" s="737"/>
      <c r="S11" s="808"/>
      <c r="T11" s="665"/>
      <c r="U11" s="754"/>
      <c r="V11" s="152"/>
      <c r="W11" s="161"/>
      <c r="AQ11" s="89"/>
    </row>
    <row r="12" spans="1:43" ht="13.15" customHeight="1" thickBot="1" x14ac:dyDescent="0.25">
      <c r="A12" s="419" t="s">
        <v>637</v>
      </c>
      <c r="B12" s="296" t="s">
        <v>222</v>
      </c>
      <c r="C12" s="40">
        <f>C9-2*C10</f>
        <v>9</v>
      </c>
      <c r="D12" s="39">
        <f t="shared" ref="D12" si="0">D9-2*D10</f>
        <v>18.100000000000001</v>
      </c>
      <c r="E12" s="39">
        <f t="shared" ref="E12:F12" si="1">E9-2*E10</f>
        <v>23.7</v>
      </c>
      <c r="F12" s="39">
        <f t="shared" si="1"/>
        <v>29.700000000000003</v>
      </c>
      <c r="G12" s="39">
        <f t="shared" ref="G12:S12" si="2">G9-2*G10</f>
        <v>38.4</v>
      </c>
      <c r="H12" s="39">
        <f t="shared" si="2"/>
        <v>44.3</v>
      </c>
      <c r="I12" s="39">
        <f t="shared" si="2"/>
        <v>56.3</v>
      </c>
      <c r="J12" s="39">
        <f>J9-2*J10</f>
        <v>71.5</v>
      </c>
      <c r="K12" s="39">
        <f t="shared" si="2"/>
        <v>84.300000000000011</v>
      </c>
      <c r="L12" s="39">
        <f t="shared" si="2"/>
        <v>109.1</v>
      </c>
      <c r="M12" s="39">
        <f t="shared" si="2"/>
        <v>134.5</v>
      </c>
      <c r="N12" s="39">
        <f t="shared" si="2"/>
        <v>163.10000000000002</v>
      </c>
      <c r="O12" s="39">
        <f t="shared" si="2"/>
        <v>211.9</v>
      </c>
      <c r="P12" s="39">
        <f t="shared" si="2"/>
        <v>265.8</v>
      </c>
      <c r="Q12" s="39">
        <f t="shared" si="2"/>
        <v>315.89999999999998</v>
      </c>
      <c r="R12" s="39">
        <f t="shared" si="2"/>
        <v>347.6</v>
      </c>
      <c r="S12" s="39">
        <f t="shared" si="2"/>
        <v>396.4</v>
      </c>
      <c r="T12" s="681"/>
      <c r="U12" s="755"/>
      <c r="V12" s="152"/>
      <c r="W12" s="170"/>
      <c r="AQ12" s="89"/>
    </row>
    <row r="13" spans="1:43" ht="13.15" customHeight="1" x14ac:dyDescent="0.2">
      <c r="A13" s="413" t="s">
        <v>638</v>
      </c>
      <c r="B13" s="158" t="s">
        <v>220</v>
      </c>
      <c r="C13" s="270" t="s">
        <v>438</v>
      </c>
      <c r="D13" s="38">
        <v>15</v>
      </c>
      <c r="E13" s="480" t="s">
        <v>648</v>
      </c>
      <c r="F13" s="480">
        <v>25</v>
      </c>
      <c r="G13" s="480" t="s">
        <v>649</v>
      </c>
      <c r="H13" s="43">
        <v>40</v>
      </c>
      <c r="I13" s="43">
        <v>50</v>
      </c>
      <c r="J13" s="43" t="s">
        <v>299</v>
      </c>
      <c r="K13" s="43">
        <v>80</v>
      </c>
      <c r="L13" s="43">
        <v>100</v>
      </c>
      <c r="M13" s="43" t="s">
        <v>300</v>
      </c>
      <c r="N13" s="43">
        <v>150</v>
      </c>
      <c r="O13" s="43">
        <v>200</v>
      </c>
      <c r="P13" s="43">
        <v>250</v>
      </c>
      <c r="Q13" s="43">
        <v>300</v>
      </c>
      <c r="R13" s="43">
        <v>350</v>
      </c>
      <c r="S13" s="78">
        <v>400</v>
      </c>
      <c r="T13" s="38"/>
      <c r="U13" s="37"/>
      <c r="V13" s="154"/>
      <c r="W13" s="171"/>
      <c r="AQ13" s="89"/>
    </row>
    <row r="14" spans="1:43" ht="13.15" customHeight="1" x14ac:dyDescent="0.2">
      <c r="A14" s="416" t="s">
        <v>639</v>
      </c>
      <c r="B14" s="297" t="s">
        <v>222</v>
      </c>
      <c r="C14" s="35">
        <v>12</v>
      </c>
      <c r="D14" s="34">
        <v>21.3</v>
      </c>
      <c r="E14" s="481" t="s">
        <v>648</v>
      </c>
      <c r="F14" s="481">
        <v>25</v>
      </c>
      <c r="G14" s="481" t="s">
        <v>649</v>
      </c>
      <c r="H14" s="34">
        <v>48.3</v>
      </c>
      <c r="I14" s="34">
        <v>60.3</v>
      </c>
      <c r="J14" s="34">
        <v>76.099999999999994</v>
      </c>
      <c r="K14" s="34">
        <v>88.9</v>
      </c>
      <c r="L14" s="34">
        <v>114.3</v>
      </c>
      <c r="M14" s="34">
        <v>139.69999999999999</v>
      </c>
      <c r="N14" s="34">
        <v>168.3</v>
      </c>
      <c r="O14" s="34">
        <v>219.1</v>
      </c>
      <c r="P14" s="34">
        <v>273</v>
      </c>
      <c r="Q14" s="34">
        <v>323.89999999999998</v>
      </c>
      <c r="R14" s="34">
        <v>355.6</v>
      </c>
      <c r="S14" s="34">
        <v>406.4</v>
      </c>
      <c r="T14" s="898" t="s">
        <v>268</v>
      </c>
      <c r="U14" s="757"/>
      <c r="V14" s="152"/>
      <c r="W14" s="168"/>
      <c r="AQ14" s="89"/>
    </row>
    <row r="15" spans="1:43" ht="13.15" customHeight="1" x14ac:dyDescent="0.2">
      <c r="A15" s="417" t="s">
        <v>640</v>
      </c>
      <c r="B15" s="294" t="s">
        <v>222</v>
      </c>
      <c r="C15" s="238">
        <v>1.5</v>
      </c>
      <c r="D15" s="239">
        <v>2</v>
      </c>
      <c r="E15" s="239">
        <v>2</v>
      </c>
      <c r="F15" s="239">
        <v>2</v>
      </c>
      <c r="G15" s="239">
        <v>2</v>
      </c>
      <c r="H15" s="239">
        <v>2</v>
      </c>
      <c r="I15" s="239">
        <v>2</v>
      </c>
      <c r="J15" s="239">
        <v>2.2999999999999998</v>
      </c>
      <c r="K15" s="239">
        <v>2.2999999999999998</v>
      </c>
      <c r="L15" s="239">
        <v>2.6</v>
      </c>
      <c r="M15" s="239">
        <v>2.6</v>
      </c>
      <c r="N15" s="239">
        <v>2.6</v>
      </c>
      <c r="O15" s="239">
        <v>3.6</v>
      </c>
      <c r="P15" s="239">
        <v>3.6</v>
      </c>
      <c r="Q15" s="239">
        <v>4</v>
      </c>
      <c r="R15" s="239">
        <v>4</v>
      </c>
      <c r="S15" s="239">
        <v>5</v>
      </c>
      <c r="T15" s="664"/>
      <c r="U15" s="754"/>
      <c r="V15" s="152"/>
      <c r="W15" s="169"/>
      <c r="AQ15" s="89"/>
    </row>
    <row r="16" spans="1:43" ht="13.15" customHeight="1" thickBot="1" x14ac:dyDescent="0.25">
      <c r="A16" s="419" t="s">
        <v>641</v>
      </c>
      <c r="B16" s="296" t="s">
        <v>222</v>
      </c>
      <c r="C16" s="316" t="s">
        <v>236</v>
      </c>
      <c r="D16" s="317">
        <v>1</v>
      </c>
      <c r="E16" s="317">
        <v>1</v>
      </c>
      <c r="F16" s="317">
        <v>2</v>
      </c>
      <c r="G16" s="317">
        <v>2</v>
      </c>
      <c r="H16" s="317">
        <v>2</v>
      </c>
      <c r="I16" s="317">
        <v>2</v>
      </c>
      <c r="J16" s="317">
        <v>2</v>
      </c>
      <c r="K16" s="317" t="s">
        <v>543</v>
      </c>
      <c r="L16" s="317" t="s">
        <v>543</v>
      </c>
      <c r="M16" s="317">
        <v>2</v>
      </c>
      <c r="N16" s="317">
        <v>2</v>
      </c>
      <c r="O16" s="317">
        <v>3</v>
      </c>
      <c r="P16" s="317">
        <v>2</v>
      </c>
      <c r="Q16" s="317">
        <v>2</v>
      </c>
      <c r="R16" s="317">
        <v>2</v>
      </c>
      <c r="S16" s="317">
        <v>3</v>
      </c>
      <c r="T16" s="847"/>
      <c r="U16" s="849"/>
      <c r="V16" s="21"/>
      <c r="AO16"/>
      <c r="AQ16" s="89"/>
    </row>
    <row r="17" spans="1:43" ht="13.15" customHeight="1" x14ac:dyDescent="0.2">
      <c r="A17" s="31" t="s">
        <v>221</v>
      </c>
      <c r="B17" s="422"/>
      <c r="C17" s="631" t="s">
        <v>220</v>
      </c>
      <c r="D17" s="632"/>
      <c r="E17" s="633" t="s">
        <v>197</v>
      </c>
      <c r="F17" s="634"/>
      <c r="G17" s="634"/>
      <c r="H17" s="634"/>
      <c r="I17" s="634"/>
      <c r="J17" s="634"/>
      <c r="K17" s="635" t="s">
        <v>241</v>
      </c>
      <c r="L17" s="634"/>
      <c r="M17" s="634"/>
      <c r="N17" s="636"/>
      <c r="O17" s="656" t="s">
        <v>243</v>
      </c>
      <c r="P17" s="656" t="s">
        <v>242</v>
      </c>
      <c r="Q17" s="637" t="s">
        <v>244</v>
      </c>
      <c r="R17" s="638"/>
      <c r="S17" s="633" t="s">
        <v>245</v>
      </c>
      <c r="T17" s="639"/>
      <c r="U17" s="640"/>
      <c r="V17" s="21"/>
      <c r="AO17"/>
      <c r="AQ17" s="89"/>
    </row>
    <row r="18" spans="1:43" ht="13.15" customHeight="1" x14ac:dyDescent="0.2">
      <c r="A18" s="20"/>
      <c r="B18" s="424"/>
      <c r="C18" s="30" t="s">
        <v>219</v>
      </c>
      <c r="D18" s="30" t="s">
        <v>218</v>
      </c>
      <c r="E18" s="554"/>
      <c r="F18" s="555"/>
      <c r="G18" s="555"/>
      <c r="H18" s="555"/>
      <c r="I18" s="555"/>
      <c r="J18" s="555"/>
      <c r="K18" s="558"/>
      <c r="L18" s="555"/>
      <c r="M18" s="555"/>
      <c r="N18" s="556"/>
      <c r="O18" s="555"/>
      <c r="P18" s="555"/>
      <c r="Q18" s="555"/>
      <c r="R18" s="555"/>
      <c r="S18" s="641"/>
      <c r="T18" s="642"/>
      <c r="U18" s="643"/>
      <c r="V18" s="172"/>
      <c r="W18" s="168"/>
      <c r="X18" s="659" t="s">
        <v>288</v>
      </c>
      <c r="Y18" s="670"/>
      <c r="Z18" s="670"/>
      <c r="AA18" s="670"/>
      <c r="AB18" s="670"/>
      <c r="AC18" s="670"/>
      <c r="AD18" s="670"/>
      <c r="AE18" s="670"/>
      <c r="AF18" s="670"/>
      <c r="AG18" s="670"/>
      <c r="AH18" s="670"/>
      <c r="AI18" s="670"/>
      <c r="AJ18" s="670"/>
      <c r="AK18" s="670"/>
      <c r="AL18" s="670"/>
      <c r="AM18" s="670"/>
      <c r="AN18" s="670"/>
      <c r="AO18" s="660"/>
      <c r="AP18" s="660"/>
      <c r="AQ18" s="89"/>
    </row>
    <row r="19" spans="1:43" ht="13.15" customHeight="1" x14ac:dyDescent="0.2">
      <c r="A19" s="19" t="s">
        <v>217</v>
      </c>
      <c r="B19" s="60"/>
      <c r="C19" s="24">
        <v>15</v>
      </c>
      <c r="D19" s="24">
        <v>50</v>
      </c>
      <c r="E19" s="561" t="s">
        <v>497</v>
      </c>
      <c r="F19" s="562"/>
      <c r="G19" s="562"/>
      <c r="H19" s="562"/>
      <c r="I19" s="562"/>
      <c r="J19" s="563"/>
      <c r="K19" s="564" t="s">
        <v>353</v>
      </c>
      <c r="L19" s="562"/>
      <c r="M19" s="562"/>
      <c r="N19" s="563"/>
      <c r="O19" s="97" t="s">
        <v>236</v>
      </c>
      <c r="P19" s="97" t="s">
        <v>485</v>
      </c>
      <c r="Q19" s="651" t="s">
        <v>354</v>
      </c>
      <c r="R19" s="626"/>
      <c r="S19" s="88"/>
      <c r="U19" s="89"/>
      <c r="V19" s="657" t="s">
        <v>274</v>
      </c>
      <c r="W19" s="1">
        <v>15</v>
      </c>
      <c r="X19" s="139" t="s">
        <v>437</v>
      </c>
      <c r="Y19" s="137"/>
      <c r="Z19" s="137"/>
      <c r="AA19" s="137"/>
      <c r="AB19" s="137"/>
      <c r="AC19" s="137"/>
      <c r="AD19" s="137"/>
      <c r="AE19" s="137"/>
      <c r="AF19" s="137"/>
      <c r="AG19" s="137"/>
      <c r="AH19" s="137"/>
      <c r="AI19" s="137"/>
      <c r="AJ19" s="137"/>
      <c r="AK19" s="137"/>
      <c r="AL19" s="138"/>
      <c r="AM19" s="138"/>
      <c r="AN19"/>
      <c r="AQ19" s="89"/>
    </row>
    <row r="20" spans="1:43" ht="13.15" customHeight="1" x14ac:dyDescent="0.2">
      <c r="A20" s="19"/>
      <c r="B20" s="60"/>
      <c r="C20" s="490">
        <v>65</v>
      </c>
      <c r="D20" s="490">
        <v>400</v>
      </c>
      <c r="E20" s="894" t="s">
        <v>494</v>
      </c>
      <c r="F20" s="895"/>
      <c r="G20" s="895"/>
      <c r="H20" s="895"/>
      <c r="I20" s="895"/>
      <c r="J20" s="896"/>
      <c r="K20" s="897" t="s">
        <v>446</v>
      </c>
      <c r="L20" s="895"/>
      <c r="M20" s="895"/>
      <c r="N20" s="896"/>
      <c r="O20" s="498" t="s">
        <v>236</v>
      </c>
      <c r="P20" s="498" t="s">
        <v>484</v>
      </c>
      <c r="Q20" s="912" t="s">
        <v>447</v>
      </c>
      <c r="R20" s="913"/>
      <c r="S20" s="93" t="s">
        <v>696</v>
      </c>
      <c r="T20" s="60"/>
      <c r="U20" s="322"/>
      <c r="V20" s="824"/>
      <c r="W20" s="227" t="s">
        <v>642</v>
      </c>
      <c r="X20" s="139"/>
      <c r="Y20" s="139"/>
      <c r="Z20" s="501"/>
      <c r="AA20" s="137"/>
      <c r="AB20" s="137"/>
      <c r="AC20" s="137"/>
      <c r="AD20" s="137"/>
      <c r="AE20" s="137"/>
      <c r="AF20" s="137"/>
      <c r="AG20" s="137"/>
      <c r="AH20" s="137"/>
      <c r="AI20" s="137"/>
      <c r="AJ20" s="137"/>
      <c r="AK20" s="137"/>
      <c r="AL20" s="137"/>
      <c r="AM20" s="138"/>
      <c r="AN20" s="138"/>
      <c r="AO20" s="138"/>
      <c r="AQ20" s="89"/>
    </row>
    <row r="21" spans="1:43" ht="13.15" customHeight="1" x14ac:dyDescent="0.2">
      <c r="A21" s="19"/>
      <c r="B21" s="60"/>
      <c r="C21" s="489">
        <v>65</v>
      </c>
      <c r="D21" s="489">
        <v>400</v>
      </c>
      <c r="E21" s="909" t="s">
        <v>496</v>
      </c>
      <c r="F21" s="892"/>
      <c r="G21" s="892"/>
      <c r="H21" s="892"/>
      <c r="I21" s="892"/>
      <c r="J21" s="893"/>
      <c r="K21" s="891" t="s">
        <v>353</v>
      </c>
      <c r="L21" s="892"/>
      <c r="M21" s="892"/>
      <c r="N21" s="893"/>
      <c r="O21" s="500" t="s">
        <v>236</v>
      </c>
      <c r="P21" s="500" t="s">
        <v>484</v>
      </c>
      <c r="Q21" s="910" t="s">
        <v>354</v>
      </c>
      <c r="R21" s="911"/>
      <c r="S21" s="93"/>
      <c r="T21" s="60"/>
      <c r="U21" s="322"/>
      <c r="V21" s="824"/>
      <c r="W21" s="118">
        <v>25</v>
      </c>
      <c r="X21" s="139" t="s">
        <v>426</v>
      </c>
      <c r="Y21" s="139"/>
      <c r="Z21" s="139" t="s">
        <v>413</v>
      </c>
      <c r="AA21" s="137"/>
      <c r="AB21" s="137"/>
      <c r="AC21" s="137"/>
      <c r="AD21" s="137"/>
      <c r="AE21" s="137"/>
      <c r="AF21" s="137"/>
      <c r="AG21" s="137"/>
      <c r="AH21" s="137"/>
      <c r="AI21" s="137"/>
      <c r="AJ21" s="137"/>
      <c r="AK21" s="137"/>
      <c r="AL21" s="137"/>
      <c r="AM21" s="138"/>
      <c r="AN21" s="138"/>
      <c r="AO21" s="138"/>
      <c r="AQ21" s="89"/>
    </row>
    <row r="22" spans="1:43" ht="13.15" customHeight="1" x14ac:dyDescent="0.2">
      <c r="A22" s="19"/>
      <c r="B22" s="60"/>
      <c r="C22" s="24"/>
      <c r="D22" s="24"/>
      <c r="E22" s="155"/>
      <c r="F22" s="160"/>
      <c r="G22" s="160"/>
      <c r="H22" s="160"/>
      <c r="I22" s="160"/>
      <c r="J22" s="181"/>
      <c r="K22" s="182"/>
      <c r="L22" s="160"/>
      <c r="M22" s="160"/>
      <c r="N22" s="181"/>
      <c r="O22" s="98"/>
      <c r="P22" s="98"/>
      <c r="Q22" s="183"/>
      <c r="R22" s="161"/>
      <c r="S22" s="88"/>
      <c r="U22" s="89"/>
      <c r="V22" s="824"/>
      <c r="W22" s="227" t="s">
        <v>643</v>
      </c>
      <c r="X22" s="139"/>
      <c r="Y22" s="139"/>
      <c r="Z22" s="139"/>
      <c r="AA22" s="139"/>
      <c r="AB22" s="501"/>
      <c r="AC22" s="137"/>
      <c r="AD22" s="137"/>
      <c r="AE22" s="137"/>
      <c r="AF22" s="137"/>
      <c r="AG22" s="137"/>
      <c r="AH22" s="137"/>
      <c r="AI22" s="137"/>
      <c r="AJ22" s="137"/>
      <c r="AK22" s="137"/>
      <c r="AL22" s="137"/>
      <c r="AM22" s="137"/>
      <c r="AN22" s="138"/>
      <c r="AO22" s="138"/>
      <c r="AP22" s="138"/>
      <c r="AQ22" s="89"/>
    </row>
    <row r="23" spans="1:43" ht="13.15" customHeight="1" x14ac:dyDescent="0.2">
      <c r="A23" s="19"/>
      <c r="B23" s="60"/>
      <c r="C23" s="24"/>
      <c r="D23" s="24"/>
      <c r="E23" s="155"/>
      <c r="F23" s="160"/>
      <c r="G23" s="160"/>
      <c r="H23" s="160"/>
      <c r="I23" s="160"/>
      <c r="J23" s="181"/>
      <c r="K23" s="182"/>
      <c r="L23" s="160"/>
      <c r="M23" s="160"/>
      <c r="N23" s="181"/>
      <c r="O23" s="98"/>
      <c r="P23" s="98"/>
      <c r="Q23" s="183"/>
      <c r="R23" s="161"/>
      <c r="S23" s="88"/>
      <c r="U23" s="89"/>
      <c r="V23" s="824"/>
      <c r="W23" s="118">
        <v>40</v>
      </c>
      <c r="X23" s="139" t="s">
        <v>719</v>
      </c>
      <c r="Y23" s="139"/>
      <c r="Z23" s="139" t="s">
        <v>413</v>
      </c>
      <c r="AA23" s="139"/>
      <c r="AB23" s="139" t="s">
        <v>413</v>
      </c>
      <c r="AC23" s="137"/>
      <c r="AD23" s="137"/>
      <c r="AE23" s="137"/>
      <c r="AF23" s="137"/>
      <c r="AG23" s="137"/>
      <c r="AH23" s="137"/>
      <c r="AI23" s="137"/>
      <c r="AJ23" s="137"/>
      <c r="AK23" s="137"/>
      <c r="AL23" s="137"/>
      <c r="AM23" s="137"/>
      <c r="AN23" s="138"/>
      <c r="AO23" s="138"/>
      <c r="AP23" s="138"/>
      <c r="AQ23" s="89"/>
    </row>
    <row r="24" spans="1:43" ht="13.15" customHeight="1" x14ac:dyDescent="0.2">
      <c r="A24" s="26" t="s">
        <v>298</v>
      </c>
      <c r="B24" s="435"/>
      <c r="C24" s="248">
        <v>15</v>
      </c>
      <c r="D24" s="250">
        <v>50</v>
      </c>
      <c r="E24" s="653" t="s">
        <v>495</v>
      </c>
      <c r="F24" s="654"/>
      <c r="G24" s="654"/>
      <c r="H24" s="654"/>
      <c r="I24" s="654"/>
      <c r="J24" s="655"/>
      <c r="K24" s="699" t="s">
        <v>353</v>
      </c>
      <c r="L24" s="654"/>
      <c r="M24" s="654"/>
      <c r="N24" s="655"/>
      <c r="O24" s="251" t="s">
        <v>236</v>
      </c>
      <c r="P24" s="249" t="s">
        <v>485</v>
      </c>
      <c r="Q24" s="697" t="s">
        <v>354</v>
      </c>
      <c r="R24" s="701"/>
      <c r="S24" s="90"/>
      <c r="T24" s="91"/>
      <c r="U24" s="92"/>
      <c r="V24" s="824"/>
      <c r="W24" s="1">
        <v>50</v>
      </c>
      <c r="X24" s="139" t="s">
        <v>719</v>
      </c>
      <c r="Y24" s="142"/>
      <c r="Z24" s="142" t="s">
        <v>413</v>
      </c>
      <c r="AA24" s="142"/>
      <c r="AB24" s="142" t="s">
        <v>413</v>
      </c>
      <c r="AC24" s="142" t="s">
        <v>413</v>
      </c>
      <c r="AD24" s="137"/>
      <c r="AE24" s="137"/>
      <c r="AF24" s="137"/>
      <c r="AG24" s="137"/>
      <c r="AH24" s="137"/>
      <c r="AI24" s="137"/>
      <c r="AJ24" s="137"/>
      <c r="AK24" s="137"/>
      <c r="AL24" s="137"/>
      <c r="AM24" s="137"/>
      <c r="AN24" s="138"/>
      <c r="AO24" s="138"/>
      <c r="AP24" s="138"/>
      <c r="AQ24" s="89"/>
    </row>
    <row r="25" spans="1:43" ht="13.15" customHeight="1" x14ac:dyDescent="0.2">
      <c r="A25" s="19" t="s">
        <v>297</v>
      </c>
      <c r="B25" s="60"/>
      <c r="C25" s="24">
        <v>15</v>
      </c>
      <c r="D25" s="23">
        <v>400</v>
      </c>
      <c r="E25" s="644" t="s">
        <v>503</v>
      </c>
      <c r="F25" s="645"/>
      <c r="G25" s="645"/>
      <c r="H25" s="645"/>
      <c r="I25" s="645"/>
      <c r="J25" s="646"/>
      <c r="K25" s="700" t="s">
        <v>358</v>
      </c>
      <c r="L25" s="645"/>
      <c r="M25" s="645"/>
      <c r="N25" s="646"/>
      <c r="O25" s="98" t="s">
        <v>236</v>
      </c>
      <c r="P25" s="98" t="s">
        <v>246</v>
      </c>
      <c r="Q25" s="647" t="s">
        <v>360</v>
      </c>
      <c r="R25" s="723"/>
      <c r="S25" s="93"/>
      <c r="U25" s="89"/>
      <c r="V25" s="824"/>
      <c r="W25" s="227" t="s">
        <v>295</v>
      </c>
      <c r="X25" s="139" t="s">
        <v>719</v>
      </c>
      <c r="Y25" s="142"/>
      <c r="Z25" s="142" t="s">
        <v>445</v>
      </c>
      <c r="AA25" s="142"/>
      <c r="AB25" s="142" t="s">
        <v>413</v>
      </c>
      <c r="AC25" s="142" t="s">
        <v>413</v>
      </c>
      <c r="AD25" s="142" t="s">
        <v>413</v>
      </c>
      <c r="AE25" s="147"/>
      <c r="AF25" s="137"/>
      <c r="AG25" s="137"/>
      <c r="AH25" s="137"/>
      <c r="AI25" s="137"/>
      <c r="AJ25" s="137"/>
      <c r="AK25" s="137"/>
      <c r="AL25" s="137"/>
      <c r="AM25" s="137"/>
      <c r="AN25" s="137"/>
      <c r="AO25" s="138"/>
      <c r="AP25" s="138"/>
      <c r="AQ25" s="89"/>
    </row>
    <row r="26" spans="1:43" ht="13.15" customHeight="1" x14ac:dyDescent="0.2">
      <c r="A26" s="19"/>
      <c r="B26" s="60"/>
      <c r="C26" s="24"/>
      <c r="D26" s="23"/>
      <c r="E26" s="155"/>
      <c r="F26" s="160"/>
      <c r="G26" s="160"/>
      <c r="H26" s="160"/>
      <c r="I26" s="160"/>
      <c r="J26" s="181"/>
      <c r="K26" s="182"/>
      <c r="L26" s="160"/>
      <c r="M26" s="160"/>
      <c r="N26" s="181"/>
      <c r="O26" s="98"/>
      <c r="P26" s="98"/>
      <c r="Q26" s="183"/>
      <c r="R26" s="161"/>
      <c r="S26" s="88"/>
      <c r="U26" s="89"/>
      <c r="V26" s="824"/>
      <c r="W26" s="1">
        <v>80</v>
      </c>
      <c r="X26" s="139" t="s">
        <v>719</v>
      </c>
      <c r="Y26" s="142"/>
      <c r="Z26" s="142" t="s">
        <v>445</v>
      </c>
      <c r="AA26" s="142"/>
      <c r="AB26" s="142" t="s">
        <v>413</v>
      </c>
      <c r="AC26" s="142" t="s">
        <v>413</v>
      </c>
      <c r="AD26" s="142" t="s">
        <v>406</v>
      </c>
      <c r="AE26" s="142" t="s">
        <v>406</v>
      </c>
      <c r="AF26" s="137"/>
      <c r="AG26" s="137"/>
      <c r="AH26" s="137"/>
      <c r="AI26" s="137"/>
      <c r="AJ26" s="137"/>
      <c r="AK26" s="137"/>
      <c r="AL26" s="137"/>
      <c r="AM26" s="137"/>
      <c r="AN26" s="137"/>
      <c r="AO26" s="138"/>
      <c r="AP26" s="138"/>
      <c r="AQ26" s="89"/>
    </row>
    <row r="27" spans="1:43" ht="13.15" customHeight="1" x14ac:dyDescent="0.2">
      <c r="A27" s="19"/>
      <c r="B27" s="60"/>
      <c r="C27" s="24"/>
      <c r="D27" s="23"/>
      <c r="E27" s="155"/>
      <c r="F27" s="160"/>
      <c r="G27" s="160"/>
      <c r="H27" s="160"/>
      <c r="I27" s="160"/>
      <c r="J27" s="181"/>
      <c r="K27" s="182"/>
      <c r="L27" s="160"/>
      <c r="M27" s="160"/>
      <c r="N27" s="181"/>
      <c r="O27" s="98"/>
      <c r="P27" s="98"/>
      <c r="Q27" s="183"/>
      <c r="R27" s="161"/>
      <c r="S27" s="93"/>
      <c r="U27" s="89"/>
      <c r="V27" s="824"/>
      <c r="W27" s="1">
        <v>100</v>
      </c>
      <c r="X27" s="139" t="s">
        <v>445</v>
      </c>
      <c r="Y27" s="142"/>
      <c r="Z27" s="142" t="s">
        <v>445</v>
      </c>
      <c r="AA27" s="139"/>
      <c r="AB27" s="139" t="s">
        <v>445</v>
      </c>
      <c r="AC27" s="139" t="s">
        <v>407</v>
      </c>
      <c r="AD27" s="139" t="s">
        <v>407</v>
      </c>
      <c r="AE27" s="139" t="s">
        <v>406</v>
      </c>
      <c r="AF27" s="139" t="s">
        <v>407</v>
      </c>
      <c r="AG27" s="147"/>
      <c r="AH27" s="137"/>
      <c r="AI27" s="137"/>
      <c r="AJ27" s="137"/>
      <c r="AK27" s="137"/>
      <c r="AL27" s="137"/>
      <c r="AM27" s="137"/>
      <c r="AN27" s="137"/>
      <c r="AO27" s="138"/>
      <c r="AP27" s="138"/>
      <c r="AQ27" s="89"/>
    </row>
    <row r="28" spans="1:43" ht="13.15" customHeight="1" x14ac:dyDescent="0.2">
      <c r="A28" s="20"/>
      <c r="B28" s="424"/>
      <c r="C28" s="28"/>
      <c r="D28" s="27"/>
      <c r="E28" s="320"/>
      <c r="F28" s="124"/>
      <c r="G28" s="124"/>
      <c r="H28" s="124"/>
      <c r="I28" s="124"/>
      <c r="J28" s="354"/>
      <c r="K28" s="321"/>
      <c r="L28" s="124"/>
      <c r="M28" s="124"/>
      <c r="N28" s="354"/>
      <c r="O28" s="110"/>
      <c r="P28" s="110"/>
      <c r="Q28" s="80"/>
      <c r="R28" s="80"/>
      <c r="S28" s="94"/>
      <c r="T28" s="95"/>
      <c r="U28" s="96"/>
      <c r="V28" s="824"/>
      <c r="W28" s="227" t="s">
        <v>296</v>
      </c>
      <c r="X28" s="139" t="s">
        <v>445</v>
      </c>
      <c r="Y28" s="142"/>
      <c r="Z28" s="142" t="s">
        <v>445</v>
      </c>
      <c r="AA28" s="139"/>
      <c r="AB28" s="139" t="s">
        <v>445</v>
      </c>
      <c r="AC28" s="139" t="s">
        <v>445</v>
      </c>
      <c r="AD28" s="139" t="s">
        <v>407</v>
      </c>
      <c r="AE28" s="139" t="s">
        <v>407</v>
      </c>
      <c r="AF28" s="139" t="s">
        <v>407</v>
      </c>
      <c r="AG28" s="139" t="s">
        <v>407</v>
      </c>
      <c r="AH28" s="137"/>
      <c r="AI28" s="137"/>
      <c r="AJ28" s="137"/>
      <c r="AK28" s="137"/>
      <c r="AL28" s="137"/>
      <c r="AM28" s="137"/>
      <c r="AN28" s="137"/>
      <c r="AO28" s="138"/>
      <c r="AP28" s="138"/>
      <c r="AQ28" s="89"/>
    </row>
    <row r="29" spans="1:43" ht="13.15" customHeight="1" x14ac:dyDescent="0.2">
      <c r="A29" s="19" t="s">
        <v>249</v>
      </c>
      <c r="B29" s="60"/>
      <c r="C29" s="24">
        <v>15</v>
      </c>
      <c r="D29" s="24">
        <v>80</v>
      </c>
      <c r="E29" s="561" t="s">
        <v>271</v>
      </c>
      <c r="F29" s="562"/>
      <c r="G29" s="562"/>
      <c r="H29" s="562"/>
      <c r="I29" s="562"/>
      <c r="J29" s="563"/>
      <c r="K29" s="564" t="s">
        <v>358</v>
      </c>
      <c r="L29" s="562"/>
      <c r="M29" s="562"/>
      <c r="N29" s="563"/>
      <c r="O29" s="97" t="s">
        <v>236</v>
      </c>
      <c r="P29" s="97" t="s">
        <v>246</v>
      </c>
      <c r="Q29" s="565" t="s">
        <v>360</v>
      </c>
      <c r="R29" s="566"/>
      <c r="S29" s="694" t="s">
        <v>548</v>
      </c>
      <c r="T29" s="91"/>
      <c r="U29" s="92"/>
      <c r="V29" s="824"/>
      <c r="W29" s="1">
        <v>150</v>
      </c>
      <c r="X29" s="139" t="s">
        <v>445</v>
      </c>
      <c r="Y29" s="142"/>
      <c r="Z29" s="142" t="s">
        <v>445</v>
      </c>
      <c r="AA29" s="139"/>
      <c r="AB29" s="139" t="s">
        <v>445</v>
      </c>
      <c r="AC29" s="139" t="s">
        <v>445</v>
      </c>
      <c r="AD29" s="139" t="s">
        <v>443</v>
      </c>
      <c r="AE29" s="139" t="s">
        <v>407</v>
      </c>
      <c r="AF29" s="139" t="s">
        <v>407</v>
      </c>
      <c r="AG29" s="139" t="s">
        <v>407</v>
      </c>
      <c r="AH29" s="139" t="s">
        <v>407</v>
      </c>
      <c r="AI29" s="137"/>
      <c r="AJ29" s="137"/>
      <c r="AK29" s="137"/>
      <c r="AL29" s="137"/>
      <c r="AM29" s="137"/>
      <c r="AN29" s="137"/>
      <c r="AO29" s="138"/>
      <c r="AP29" s="138"/>
      <c r="AQ29" s="89"/>
    </row>
    <row r="30" spans="1:43" ht="13.15" customHeight="1" x14ac:dyDescent="0.2">
      <c r="A30" s="19" t="s">
        <v>250</v>
      </c>
      <c r="B30" s="60"/>
      <c r="C30" s="24">
        <v>100</v>
      </c>
      <c r="D30" s="24">
        <v>400</v>
      </c>
      <c r="E30" s="583" t="s">
        <v>271</v>
      </c>
      <c r="F30" s="549"/>
      <c r="G30" s="549"/>
      <c r="H30" s="549"/>
      <c r="I30" s="549"/>
      <c r="J30" s="550"/>
      <c r="K30" s="584" t="s">
        <v>358</v>
      </c>
      <c r="L30" s="549"/>
      <c r="M30" s="549"/>
      <c r="N30" s="550"/>
      <c r="O30" s="98" t="s">
        <v>236</v>
      </c>
      <c r="P30" s="98" t="s">
        <v>246</v>
      </c>
      <c r="Q30" s="585" t="s">
        <v>361</v>
      </c>
      <c r="R30" s="615"/>
      <c r="S30" s="833"/>
      <c r="U30" s="89"/>
      <c r="V30" s="824"/>
      <c r="W30" s="1">
        <v>200</v>
      </c>
      <c r="X30" s="139" t="s">
        <v>445</v>
      </c>
      <c r="Y30" s="142"/>
      <c r="Z30" s="142" t="s">
        <v>445</v>
      </c>
      <c r="AA30" s="139"/>
      <c r="AB30" s="139" t="s">
        <v>445</v>
      </c>
      <c r="AC30" s="139" t="s">
        <v>445</v>
      </c>
      <c r="AD30" s="139" t="s">
        <v>443</v>
      </c>
      <c r="AE30" s="139" t="s">
        <v>443</v>
      </c>
      <c r="AF30" s="139" t="s">
        <v>396</v>
      </c>
      <c r="AG30" s="139" t="s">
        <v>396</v>
      </c>
      <c r="AH30" s="139" t="s">
        <v>396</v>
      </c>
      <c r="AI30" s="139" t="s">
        <v>396</v>
      </c>
      <c r="AJ30" s="137"/>
      <c r="AK30" s="137"/>
      <c r="AL30" s="137"/>
      <c r="AM30" s="137"/>
      <c r="AN30" s="137"/>
      <c r="AO30" s="138"/>
      <c r="AP30" s="138"/>
      <c r="AQ30" s="89"/>
    </row>
    <row r="31" spans="1:43" ht="13.15" customHeight="1" x14ac:dyDescent="0.2">
      <c r="A31" s="19"/>
      <c r="B31" s="60"/>
      <c r="C31" s="497" t="s">
        <v>236</v>
      </c>
      <c r="D31" s="497" t="s">
        <v>236</v>
      </c>
      <c r="E31" s="894" t="s">
        <v>325</v>
      </c>
      <c r="F31" s="895"/>
      <c r="G31" s="895"/>
      <c r="H31" s="895"/>
      <c r="I31" s="895"/>
      <c r="J31" s="896"/>
      <c r="K31" s="897" t="s">
        <v>446</v>
      </c>
      <c r="L31" s="895"/>
      <c r="M31" s="895"/>
      <c r="N31" s="896"/>
      <c r="O31" s="498" t="s">
        <v>236</v>
      </c>
      <c r="P31" s="498" t="s">
        <v>246</v>
      </c>
      <c r="Q31" s="889" t="s">
        <v>347</v>
      </c>
      <c r="R31" s="890"/>
      <c r="S31" s="833"/>
      <c r="U31" s="89"/>
      <c r="V31" s="824"/>
      <c r="W31" s="1">
        <v>250</v>
      </c>
      <c r="X31" s="139" t="s">
        <v>445</v>
      </c>
      <c r="Y31" s="142"/>
      <c r="Z31" s="142" t="s">
        <v>445</v>
      </c>
      <c r="AA31" s="139"/>
      <c r="AB31" s="139" t="s">
        <v>445</v>
      </c>
      <c r="AC31" s="139" t="s">
        <v>445</v>
      </c>
      <c r="AD31" s="139" t="s">
        <v>443</v>
      </c>
      <c r="AE31" s="141" t="s">
        <v>443</v>
      </c>
      <c r="AF31" s="139" t="s">
        <v>334</v>
      </c>
      <c r="AG31" s="139" t="s">
        <v>407</v>
      </c>
      <c r="AH31" s="139" t="s">
        <v>407</v>
      </c>
      <c r="AI31" s="139" t="s">
        <v>407</v>
      </c>
      <c r="AJ31" s="139" t="s">
        <v>407</v>
      </c>
      <c r="AK31" s="137"/>
      <c r="AL31" s="137"/>
      <c r="AM31" s="137"/>
      <c r="AN31" s="137"/>
      <c r="AO31" s="138"/>
      <c r="AP31" s="138"/>
      <c r="AQ31" s="89"/>
    </row>
    <row r="32" spans="1:43" ht="13.15" customHeight="1" x14ac:dyDescent="0.2">
      <c r="A32" s="19"/>
      <c r="B32" s="60"/>
      <c r="C32" s="499" t="s">
        <v>236</v>
      </c>
      <c r="D32" s="499" t="s">
        <v>236</v>
      </c>
      <c r="E32" s="909" t="s">
        <v>325</v>
      </c>
      <c r="F32" s="892"/>
      <c r="G32" s="892"/>
      <c r="H32" s="892"/>
      <c r="I32" s="892"/>
      <c r="J32" s="893"/>
      <c r="K32" s="891" t="s">
        <v>353</v>
      </c>
      <c r="L32" s="892"/>
      <c r="M32" s="892"/>
      <c r="N32" s="893"/>
      <c r="O32" s="500" t="s">
        <v>236</v>
      </c>
      <c r="P32" s="500" t="s">
        <v>246</v>
      </c>
      <c r="Q32" s="887" t="s">
        <v>347</v>
      </c>
      <c r="R32" s="888"/>
      <c r="S32" s="833"/>
      <c r="U32" s="89"/>
      <c r="V32" s="824"/>
      <c r="W32" s="1">
        <v>300</v>
      </c>
      <c r="X32" s="139" t="s">
        <v>445</v>
      </c>
      <c r="Y32" s="142"/>
      <c r="Z32" s="142" t="s">
        <v>445</v>
      </c>
      <c r="AA32" s="139"/>
      <c r="AB32" s="139" t="s">
        <v>445</v>
      </c>
      <c r="AC32" s="139" t="s">
        <v>445</v>
      </c>
      <c r="AD32" s="139" t="s">
        <v>443</v>
      </c>
      <c r="AE32" s="141" t="s">
        <v>443</v>
      </c>
      <c r="AF32" s="139" t="s">
        <v>334</v>
      </c>
      <c r="AG32" s="139" t="s">
        <v>409</v>
      </c>
      <c r="AH32" s="139" t="s">
        <v>407</v>
      </c>
      <c r="AI32" s="139" t="s">
        <v>407</v>
      </c>
      <c r="AJ32" s="139" t="s">
        <v>407</v>
      </c>
      <c r="AK32" s="139" t="s">
        <v>407</v>
      </c>
      <c r="AL32" s="137"/>
      <c r="AM32" s="137"/>
      <c r="AN32" s="137"/>
      <c r="AO32" s="138"/>
      <c r="AP32" s="138"/>
      <c r="AQ32" s="89"/>
    </row>
    <row r="33" spans="1:43" ht="13.15" customHeight="1" x14ac:dyDescent="0.2">
      <c r="A33" s="19" t="s">
        <v>256</v>
      </c>
      <c r="B33" s="60"/>
      <c r="C33" s="24">
        <v>100</v>
      </c>
      <c r="D33" s="24">
        <v>150</v>
      </c>
      <c r="E33" s="583" t="s">
        <v>540</v>
      </c>
      <c r="F33" s="549"/>
      <c r="G33" s="549"/>
      <c r="H33" s="549"/>
      <c r="I33" s="549"/>
      <c r="J33" s="550"/>
      <c r="K33" s="584" t="s">
        <v>379</v>
      </c>
      <c r="L33" s="549"/>
      <c r="M33" s="549"/>
      <c r="N33" s="550"/>
      <c r="O33" s="98" t="s">
        <v>236</v>
      </c>
      <c r="P33" s="98" t="s">
        <v>328</v>
      </c>
      <c r="Q33" s="585" t="s">
        <v>382</v>
      </c>
      <c r="R33" s="615"/>
      <c r="S33" s="833"/>
      <c r="T33" s="60" t="s">
        <v>524</v>
      </c>
      <c r="U33" s="89"/>
      <c r="V33" s="824"/>
      <c r="W33" s="1">
        <v>350</v>
      </c>
      <c r="X33" s="139" t="s">
        <v>445</v>
      </c>
      <c r="Y33" s="142"/>
      <c r="Z33" s="142" t="s">
        <v>445</v>
      </c>
      <c r="AA33" s="139"/>
      <c r="AB33" s="139" t="s">
        <v>445</v>
      </c>
      <c r="AC33" s="139" t="s">
        <v>445</v>
      </c>
      <c r="AD33" s="139" t="s">
        <v>443</v>
      </c>
      <c r="AE33" s="141" t="s">
        <v>443</v>
      </c>
      <c r="AF33" s="139" t="s">
        <v>334</v>
      </c>
      <c r="AG33" s="139" t="s">
        <v>409</v>
      </c>
      <c r="AH33" s="139" t="s">
        <v>444</v>
      </c>
      <c r="AI33" s="139" t="s">
        <v>407</v>
      </c>
      <c r="AJ33" s="139" t="s">
        <v>407</v>
      </c>
      <c r="AK33" s="139" t="s">
        <v>407</v>
      </c>
      <c r="AL33" s="139" t="s">
        <v>407</v>
      </c>
      <c r="AM33" s="137"/>
      <c r="AN33" s="137"/>
      <c r="AO33" s="138"/>
      <c r="AP33" s="138"/>
      <c r="AQ33" s="89"/>
    </row>
    <row r="34" spans="1:43" ht="13.15" customHeight="1" x14ac:dyDescent="0.2">
      <c r="A34" s="19"/>
      <c r="B34" s="60"/>
      <c r="C34" s="24">
        <v>200</v>
      </c>
      <c r="D34" s="24">
        <v>400</v>
      </c>
      <c r="E34" s="583" t="s">
        <v>540</v>
      </c>
      <c r="F34" s="549"/>
      <c r="G34" s="549"/>
      <c r="H34" s="549"/>
      <c r="I34" s="549"/>
      <c r="J34" s="550"/>
      <c r="K34" s="584" t="s">
        <v>379</v>
      </c>
      <c r="L34" s="549"/>
      <c r="M34" s="549"/>
      <c r="N34" s="550"/>
      <c r="O34" s="165"/>
      <c r="P34" s="98" t="s">
        <v>328</v>
      </c>
      <c r="Q34" s="585" t="s">
        <v>382</v>
      </c>
      <c r="R34" s="615"/>
      <c r="S34" s="833"/>
      <c r="T34" s="60" t="s">
        <v>525</v>
      </c>
      <c r="U34" s="89"/>
      <c r="V34" s="824"/>
      <c r="W34" s="1">
        <v>400</v>
      </c>
      <c r="X34" s="139" t="s">
        <v>445</v>
      </c>
      <c r="Y34" s="142"/>
      <c r="Z34" s="142" t="s">
        <v>445</v>
      </c>
      <c r="AA34" s="141"/>
      <c r="AB34" s="141" t="s">
        <v>445</v>
      </c>
      <c r="AC34" s="139" t="s">
        <v>445</v>
      </c>
      <c r="AD34" s="141" t="s">
        <v>443</v>
      </c>
      <c r="AE34" s="141" t="s">
        <v>443</v>
      </c>
      <c r="AF34" s="139" t="s">
        <v>334</v>
      </c>
      <c r="AG34" s="139" t="s">
        <v>409</v>
      </c>
      <c r="AH34" s="141" t="s">
        <v>444</v>
      </c>
      <c r="AI34" s="141" t="s">
        <v>441</v>
      </c>
      <c r="AJ34" s="141" t="s">
        <v>396</v>
      </c>
      <c r="AK34" s="141" t="s">
        <v>396</v>
      </c>
      <c r="AL34" s="141" t="s">
        <v>396</v>
      </c>
      <c r="AM34" s="141" t="s">
        <v>396</v>
      </c>
      <c r="AN34" s="137"/>
      <c r="AO34" s="138"/>
      <c r="AP34" s="138"/>
      <c r="AQ34" s="89"/>
    </row>
    <row r="35" spans="1:43" ht="13.15" customHeight="1" x14ac:dyDescent="0.2">
      <c r="A35" s="19"/>
      <c r="B35" s="60"/>
      <c r="C35" s="24"/>
      <c r="D35" s="24"/>
      <c r="E35" s="583" t="s">
        <v>530</v>
      </c>
      <c r="F35" s="549"/>
      <c r="G35" s="549"/>
      <c r="H35" s="549"/>
      <c r="I35" s="549"/>
      <c r="J35" s="550"/>
      <c r="K35" s="584">
        <v>1.4571000000000001</v>
      </c>
      <c r="L35" s="549"/>
      <c r="M35" s="549"/>
      <c r="N35" s="550"/>
      <c r="O35" s="98" t="s">
        <v>236</v>
      </c>
      <c r="P35" s="98" t="s">
        <v>257</v>
      </c>
      <c r="Q35" s="585" t="s">
        <v>721</v>
      </c>
      <c r="R35" s="615"/>
      <c r="S35" s="833"/>
      <c r="U35" s="89"/>
      <c r="V35" s="824"/>
      <c r="W35" s="1">
        <v>450</v>
      </c>
      <c r="X35" s="141"/>
      <c r="Y35" s="142"/>
      <c r="Z35" s="142"/>
      <c r="AA35" s="140"/>
      <c r="AB35" s="140"/>
      <c r="AC35" s="140"/>
      <c r="AD35" s="140"/>
      <c r="AE35" s="140"/>
      <c r="AF35" s="140"/>
      <c r="AG35" s="140"/>
      <c r="AH35" s="140"/>
      <c r="AI35" s="140"/>
      <c r="AJ35" s="141"/>
      <c r="AK35" s="140"/>
      <c r="AL35" s="141"/>
      <c r="AM35" s="141"/>
      <c r="AN35" s="141"/>
      <c r="AO35" s="138"/>
      <c r="AP35" s="138"/>
      <c r="AQ35" s="89"/>
    </row>
    <row r="36" spans="1:43" ht="13.15" customHeight="1" x14ac:dyDescent="0.2">
      <c r="A36" s="19"/>
      <c r="B36" s="60"/>
      <c r="C36" s="24"/>
      <c r="D36" s="24"/>
      <c r="E36" s="583" t="s">
        <v>327</v>
      </c>
      <c r="F36" s="549"/>
      <c r="G36" s="549"/>
      <c r="H36" s="549"/>
      <c r="I36" s="549"/>
      <c r="J36" s="550"/>
      <c r="K36" s="584" t="s">
        <v>449</v>
      </c>
      <c r="L36" s="549"/>
      <c r="M36" s="549"/>
      <c r="N36" s="550"/>
      <c r="O36" s="98" t="s">
        <v>236</v>
      </c>
      <c r="P36" s="98" t="s">
        <v>257</v>
      </c>
      <c r="Q36" s="585" t="s">
        <v>329</v>
      </c>
      <c r="R36" s="615"/>
      <c r="S36" s="833"/>
      <c r="U36" s="89"/>
      <c r="V36" s="824"/>
      <c r="W36" s="1">
        <v>500</v>
      </c>
      <c r="X36" s="136"/>
      <c r="Y36" s="142"/>
      <c r="Z36" s="142"/>
      <c r="AA36" s="136"/>
      <c r="AB36" s="136"/>
      <c r="AC36" s="136"/>
      <c r="AD36" s="136"/>
      <c r="AE36" s="136"/>
      <c r="AF36" s="136"/>
      <c r="AG36" s="136"/>
      <c r="AH36" s="136"/>
      <c r="AI36" s="136"/>
      <c r="AJ36" s="139"/>
      <c r="AK36" s="136"/>
      <c r="AL36" s="136"/>
      <c r="AM36" s="136"/>
      <c r="AN36" s="136"/>
      <c r="AO36" s="136"/>
      <c r="AP36" s="138"/>
      <c r="AQ36" s="89"/>
    </row>
    <row r="37" spans="1:43" ht="13.15" customHeight="1" x14ac:dyDescent="0.2">
      <c r="A37" s="19" t="s">
        <v>258</v>
      </c>
      <c r="B37" s="60"/>
      <c r="C37" s="24">
        <v>15</v>
      </c>
      <c r="D37" s="24">
        <v>25</v>
      </c>
      <c r="E37" s="583" t="s">
        <v>271</v>
      </c>
      <c r="F37" s="549"/>
      <c r="G37" s="549"/>
      <c r="H37" s="549"/>
      <c r="I37" s="549"/>
      <c r="J37" s="550"/>
      <c r="K37" s="584" t="s">
        <v>358</v>
      </c>
      <c r="L37" s="549"/>
      <c r="M37" s="549"/>
      <c r="N37" s="550"/>
      <c r="O37" s="98" t="s">
        <v>236</v>
      </c>
      <c r="P37" s="98" t="s">
        <v>246</v>
      </c>
      <c r="Q37" s="585" t="s">
        <v>360</v>
      </c>
      <c r="R37" s="615"/>
      <c r="S37" s="833"/>
      <c r="U37" s="89"/>
      <c r="V37" s="824"/>
      <c r="W37" s="1">
        <v>600</v>
      </c>
      <c r="X37" s="136"/>
      <c r="Y37" s="142"/>
      <c r="Z37" s="142"/>
      <c r="AA37" s="136"/>
      <c r="AB37" s="136"/>
      <c r="AC37" s="136"/>
      <c r="AD37" s="136"/>
      <c r="AE37" s="136"/>
      <c r="AF37" s="136"/>
      <c r="AG37" s="136"/>
      <c r="AH37" s="136"/>
      <c r="AI37" s="136"/>
      <c r="AJ37" s="136"/>
      <c r="AK37" s="136"/>
      <c r="AL37" s="136"/>
      <c r="AM37" s="136"/>
      <c r="AN37" s="136"/>
      <c r="AO37" s="136"/>
      <c r="AP37" s="136"/>
      <c r="AQ37" s="89"/>
    </row>
    <row r="38" spans="1:43" ht="13.15" customHeight="1" x14ac:dyDescent="0.2">
      <c r="A38" s="19"/>
      <c r="B38" s="60"/>
      <c r="C38" s="24">
        <v>50</v>
      </c>
      <c r="D38" s="24">
        <v>400</v>
      </c>
      <c r="E38" s="713" t="s">
        <v>378</v>
      </c>
      <c r="F38" s="714"/>
      <c r="G38" s="714"/>
      <c r="H38" s="714"/>
      <c r="I38" s="714"/>
      <c r="J38" s="715"/>
      <c r="K38" s="720" t="s">
        <v>379</v>
      </c>
      <c r="L38" s="714"/>
      <c r="M38" s="714"/>
      <c r="N38" s="715"/>
      <c r="O38" s="98" t="s">
        <v>236</v>
      </c>
      <c r="P38" s="110" t="s">
        <v>328</v>
      </c>
      <c r="Q38" s="718" t="s">
        <v>382</v>
      </c>
      <c r="R38" s="719"/>
      <c r="S38" s="834"/>
      <c r="T38" s="95"/>
      <c r="U38" s="96"/>
      <c r="V38" s="21"/>
      <c r="W38"/>
      <c r="X38">
        <v>15</v>
      </c>
      <c r="Y38" s="484" t="s">
        <v>642</v>
      </c>
      <c r="Z38">
        <v>25</v>
      </c>
      <c r="AA38" s="484" t="s">
        <v>643</v>
      </c>
      <c r="AB38">
        <v>40</v>
      </c>
      <c r="AC38">
        <v>50</v>
      </c>
      <c r="AD38" s="228" t="s">
        <v>295</v>
      </c>
      <c r="AE38">
        <v>80</v>
      </c>
      <c r="AF38">
        <v>100</v>
      </c>
      <c r="AG38" s="228" t="s">
        <v>296</v>
      </c>
      <c r="AH38">
        <v>150</v>
      </c>
      <c r="AI38">
        <v>200</v>
      </c>
      <c r="AJ38">
        <v>250</v>
      </c>
      <c r="AK38">
        <v>300</v>
      </c>
      <c r="AL38">
        <v>350</v>
      </c>
      <c r="AM38" s="2">
        <v>400</v>
      </c>
      <c r="AN38" s="2">
        <v>450</v>
      </c>
      <c r="AO38" s="2">
        <v>500</v>
      </c>
      <c r="AP38" s="2">
        <v>600</v>
      </c>
      <c r="AQ38" s="89"/>
    </row>
    <row r="39" spans="1:43" ht="13.15" customHeight="1" x14ac:dyDescent="0.2">
      <c r="A39" s="26" t="s">
        <v>216</v>
      </c>
      <c r="B39" s="454"/>
      <c r="C39" s="29">
        <v>25</v>
      </c>
      <c r="D39" s="25">
        <v>400</v>
      </c>
      <c r="E39" s="561" t="s">
        <v>384</v>
      </c>
      <c r="F39" s="562"/>
      <c r="G39" s="562"/>
      <c r="H39" s="562"/>
      <c r="I39" s="562"/>
      <c r="J39" s="563"/>
      <c r="K39" s="564" t="s">
        <v>358</v>
      </c>
      <c r="L39" s="562"/>
      <c r="M39" s="562"/>
      <c r="N39" s="563"/>
      <c r="O39" s="97" t="s">
        <v>236</v>
      </c>
      <c r="P39" s="97" t="s">
        <v>246</v>
      </c>
      <c r="Q39" s="565" t="s">
        <v>360</v>
      </c>
      <c r="R39" s="566"/>
      <c r="S39" s="688" t="s">
        <v>357</v>
      </c>
      <c r="T39" s="689"/>
      <c r="U39" s="690"/>
      <c r="V39" s="21"/>
      <c r="X39" s="659" t="s">
        <v>275</v>
      </c>
      <c r="Y39" s="660"/>
      <c r="Z39" s="660"/>
      <c r="AA39" s="660"/>
      <c r="AB39" s="660"/>
      <c r="AC39" s="660"/>
      <c r="AD39" s="660"/>
      <c r="AE39" s="660"/>
      <c r="AF39" s="660"/>
      <c r="AG39" s="660"/>
      <c r="AH39" s="660"/>
      <c r="AI39" s="660"/>
      <c r="AJ39" s="660"/>
      <c r="AK39" s="660"/>
      <c r="AL39" s="660"/>
      <c r="AM39" s="660"/>
      <c r="AN39" s="660"/>
      <c r="AO39" s="660"/>
      <c r="AP39" s="660"/>
      <c r="AQ39" s="89"/>
    </row>
    <row r="40" spans="1:43" ht="13.15" customHeight="1" x14ac:dyDescent="0.2">
      <c r="A40" s="19"/>
      <c r="B40" s="60"/>
      <c r="C40" s="24"/>
      <c r="D40" s="23"/>
      <c r="E40" s="155"/>
      <c r="F40" s="160"/>
      <c r="G40" s="160"/>
      <c r="H40" s="160"/>
      <c r="I40" s="160"/>
      <c r="J40" s="181"/>
      <c r="K40" s="182"/>
      <c r="L40" s="160"/>
      <c r="M40" s="160"/>
      <c r="N40" s="181"/>
      <c r="O40" s="98"/>
      <c r="P40" s="98"/>
      <c r="Q40" s="347"/>
      <c r="R40" s="348"/>
      <c r="S40" s="691"/>
      <c r="T40" s="692"/>
      <c r="U40" s="693"/>
      <c r="V40" s="21"/>
      <c r="AQ40" s="89"/>
    </row>
    <row r="41" spans="1:43" ht="13.15" customHeight="1" x14ac:dyDescent="0.2">
      <c r="A41" s="20"/>
      <c r="B41" s="424"/>
      <c r="C41" s="28"/>
      <c r="D41" s="27"/>
      <c r="E41" s="320"/>
      <c r="F41" s="124"/>
      <c r="G41" s="124"/>
      <c r="H41" s="124"/>
      <c r="I41" s="124"/>
      <c r="J41" s="354"/>
      <c r="K41" s="321"/>
      <c r="L41" s="124"/>
      <c r="M41" s="124"/>
      <c r="N41" s="354"/>
      <c r="O41" s="110"/>
      <c r="P41" s="99"/>
      <c r="Q41" s="80"/>
      <c r="R41" s="80"/>
      <c r="S41" s="94"/>
      <c r="T41" s="95"/>
      <c r="U41" s="96"/>
      <c r="V41" s="21"/>
      <c r="AQ41" s="89"/>
    </row>
    <row r="42" spans="1:43" ht="13.15" customHeight="1" x14ac:dyDescent="0.2">
      <c r="A42" s="19" t="s">
        <v>215</v>
      </c>
      <c r="B42" s="60"/>
      <c r="C42" s="24">
        <v>15</v>
      </c>
      <c r="D42" s="24">
        <v>400</v>
      </c>
      <c r="E42" s="561" t="s">
        <v>247</v>
      </c>
      <c r="F42" s="562"/>
      <c r="G42" s="562"/>
      <c r="H42" s="562"/>
      <c r="I42" s="562"/>
      <c r="J42" s="563"/>
      <c r="K42" s="564" t="s">
        <v>380</v>
      </c>
      <c r="L42" s="562"/>
      <c r="M42" s="562"/>
      <c r="N42" s="563"/>
      <c r="O42" s="97" t="s">
        <v>236</v>
      </c>
      <c r="P42" s="97" t="s">
        <v>246</v>
      </c>
      <c r="Q42" s="565" t="s">
        <v>360</v>
      </c>
      <c r="R42" s="566"/>
      <c r="S42" s="109"/>
      <c r="T42" s="91"/>
      <c r="U42" s="92"/>
      <c r="V42" s="21"/>
      <c r="AQ42" s="89"/>
    </row>
    <row r="43" spans="1:43" ht="13.15" customHeight="1" x14ac:dyDescent="0.2">
      <c r="A43" s="19"/>
      <c r="B43" s="60"/>
      <c r="C43" s="24"/>
      <c r="D43" s="24"/>
      <c r="E43" s="155"/>
      <c r="F43" s="160"/>
      <c r="G43" s="160"/>
      <c r="H43" s="160"/>
      <c r="I43" s="160"/>
      <c r="J43" s="181"/>
      <c r="K43" s="182"/>
      <c r="L43" s="160"/>
      <c r="M43" s="160"/>
      <c r="N43" s="181"/>
      <c r="O43" s="98"/>
      <c r="P43" s="98"/>
      <c r="Q43" s="347"/>
      <c r="R43" s="161"/>
      <c r="S43" s="88"/>
      <c r="U43" s="89"/>
      <c r="V43" s="21"/>
      <c r="AQ43" s="89"/>
    </row>
    <row r="44" spans="1:43" ht="13.15" customHeight="1" x14ac:dyDescent="0.2">
      <c r="A44" s="20"/>
      <c r="B44" s="424"/>
      <c r="C44" s="28"/>
      <c r="D44" s="28"/>
      <c r="E44" s="320"/>
      <c r="F44" s="124"/>
      <c r="G44" s="124"/>
      <c r="H44" s="124"/>
      <c r="I44" s="124"/>
      <c r="J44" s="354"/>
      <c r="K44" s="321"/>
      <c r="L44" s="124"/>
      <c r="M44" s="124"/>
      <c r="N44" s="354"/>
      <c r="O44" s="110"/>
      <c r="P44" s="110"/>
      <c r="Q44" s="80"/>
      <c r="R44" s="80"/>
      <c r="S44" s="94"/>
      <c r="T44" s="95"/>
      <c r="U44" s="96"/>
      <c r="V44" s="21"/>
      <c r="AQ44" s="89"/>
    </row>
    <row r="45" spans="1:43" ht="13.15" customHeight="1" x14ac:dyDescent="0.2">
      <c r="A45" s="19" t="s">
        <v>214</v>
      </c>
      <c r="B45" s="60"/>
      <c r="C45" s="24">
        <v>15</v>
      </c>
      <c r="D45" s="24">
        <v>50</v>
      </c>
      <c r="E45" s="561" t="s">
        <v>481</v>
      </c>
      <c r="F45" s="728"/>
      <c r="G45" s="728"/>
      <c r="H45" s="728"/>
      <c r="I45" s="728"/>
      <c r="J45" s="729"/>
      <c r="K45" s="564" t="s">
        <v>379</v>
      </c>
      <c r="L45" s="728"/>
      <c r="M45" s="728"/>
      <c r="N45" s="729"/>
      <c r="O45" s="97" t="s">
        <v>341</v>
      </c>
      <c r="P45" s="97" t="s">
        <v>363</v>
      </c>
      <c r="Q45" s="565" t="s">
        <v>309</v>
      </c>
      <c r="R45" s="782"/>
      <c r="S45" s="109"/>
      <c r="T45" s="91"/>
      <c r="U45" s="92"/>
      <c r="V45" s="21"/>
      <c r="AQ45" s="89"/>
    </row>
    <row r="46" spans="1:43" ht="13.15" customHeight="1" x14ac:dyDescent="0.2">
      <c r="A46" s="19"/>
      <c r="B46" s="60"/>
      <c r="C46" s="24">
        <v>65</v>
      </c>
      <c r="D46" s="23">
        <v>200</v>
      </c>
      <c r="E46" s="155" t="s">
        <v>481</v>
      </c>
      <c r="F46" s="432"/>
      <c r="G46" s="432"/>
      <c r="H46" s="432"/>
      <c r="I46" s="432"/>
      <c r="J46" s="433"/>
      <c r="K46" s="182" t="s">
        <v>379</v>
      </c>
      <c r="L46" s="432"/>
      <c r="M46" s="432"/>
      <c r="N46" s="433"/>
      <c r="O46" s="98" t="s">
        <v>308</v>
      </c>
      <c r="P46" s="98" t="s">
        <v>363</v>
      </c>
      <c r="Q46" s="585" t="s">
        <v>309</v>
      </c>
      <c r="R46" s="545"/>
      <c r="S46" s="88"/>
      <c r="U46" s="89"/>
      <c r="V46" s="21"/>
      <c r="AQ46" s="89"/>
    </row>
    <row r="47" spans="1:43" ht="13.15" customHeight="1" x14ac:dyDescent="0.2">
      <c r="A47" s="19"/>
      <c r="B47" s="60"/>
      <c r="C47" s="28"/>
      <c r="D47" s="27"/>
      <c r="E47" s="320"/>
      <c r="F47" s="124"/>
      <c r="G47" s="124"/>
      <c r="H47" s="124"/>
      <c r="I47" s="124"/>
      <c r="J47" s="354"/>
      <c r="K47" s="321"/>
      <c r="L47" s="124"/>
      <c r="M47" s="124"/>
      <c r="N47" s="354"/>
      <c r="O47" s="110"/>
      <c r="P47" s="110"/>
      <c r="Q47" s="80"/>
      <c r="R47" s="80"/>
      <c r="S47" s="94"/>
      <c r="T47" s="95"/>
      <c r="U47" s="96"/>
      <c r="V47" s="21"/>
      <c r="AQ47" s="89"/>
    </row>
    <row r="48" spans="1:43" ht="13.15" customHeight="1" x14ac:dyDescent="0.2">
      <c r="A48" s="26" t="s">
        <v>213</v>
      </c>
      <c r="B48" s="435"/>
      <c r="C48" s="24">
        <v>15</v>
      </c>
      <c r="D48" s="24">
        <v>50</v>
      </c>
      <c r="E48" s="561" t="s">
        <v>482</v>
      </c>
      <c r="F48" s="728"/>
      <c r="G48" s="728"/>
      <c r="H48" s="728"/>
      <c r="I48" s="728"/>
      <c r="J48" s="729"/>
      <c r="K48" s="564" t="s">
        <v>380</v>
      </c>
      <c r="L48" s="728"/>
      <c r="M48" s="728"/>
      <c r="N48" s="729"/>
      <c r="O48" s="97" t="s">
        <v>341</v>
      </c>
      <c r="P48" s="97" t="s">
        <v>248</v>
      </c>
      <c r="Q48" s="565" t="s">
        <v>309</v>
      </c>
      <c r="R48" s="782"/>
      <c r="S48" s="109"/>
      <c r="T48" s="91"/>
      <c r="U48" s="92"/>
      <c r="V48" s="21"/>
      <c r="AQ48" s="89"/>
    </row>
    <row r="49" spans="1:43" ht="13.15" customHeight="1" x14ac:dyDescent="0.2">
      <c r="A49" s="19"/>
      <c r="B49" s="60"/>
      <c r="C49" s="24">
        <v>65</v>
      </c>
      <c r="D49" s="24">
        <v>200</v>
      </c>
      <c r="E49" s="155" t="s">
        <v>482</v>
      </c>
      <c r="F49" s="432"/>
      <c r="G49" s="432"/>
      <c r="H49" s="432"/>
      <c r="I49" s="432"/>
      <c r="J49" s="433"/>
      <c r="K49" s="182" t="s">
        <v>380</v>
      </c>
      <c r="L49" s="432"/>
      <c r="M49" s="432"/>
      <c r="N49" s="432"/>
      <c r="O49" s="98" t="s">
        <v>308</v>
      </c>
      <c r="P49" s="98" t="s">
        <v>248</v>
      </c>
      <c r="Q49" s="585" t="s">
        <v>309</v>
      </c>
      <c r="R49" s="545"/>
      <c r="S49" s="88"/>
      <c r="U49" s="89"/>
      <c r="V49" s="21"/>
      <c r="AQ49" s="89"/>
    </row>
    <row r="50" spans="1:43" ht="13.15" customHeight="1" x14ac:dyDescent="0.2">
      <c r="A50" s="20"/>
      <c r="B50" s="424"/>
      <c r="C50" s="28"/>
      <c r="D50" s="28"/>
      <c r="E50" s="320"/>
      <c r="F50" s="124"/>
      <c r="G50" s="124"/>
      <c r="H50" s="124"/>
      <c r="I50" s="124"/>
      <c r="J50" s="354"/>
      <c r="K50" s="321"/>
      <c r="L50" s="124"/>
      <c r="M50" s="124"/>
      <c r="N50" s="124"/>
      <c r="O50" s="110"/>
      <c r="P50" s="110"/>
      <c r="Q50" s="80"/>
      <c r="R50" s="80"/>
      <c r="S50" s="94"/>
      <c r="T50" s="95"/>
      <c r="U50" s="96"/>
      <c r="V50" s="21"/>
      <c r="AQ50" s="89"/>
    </row>
    <row r="51" spans="1:43" ht="13.15" customHeight="1" x14ac:dyDescent="0.2">
      <c r="A51" s="19" t="s">
        <v>264</v>
      </c>
      <c r="B51" s="60"/>
      <c r="C51" s="24" t="s">
        <v>313</v>
      </c>
      <c r="D51" s="24" t="s">
        <v>314</v>
      </c>
      <c r="E51" s="561" t="s">
        <v>310</v>
      </c>
      <c r="F51" s="562"/>
      <c r="G51" s="562"/>
      <c r="H51" s="562"/>
      <c r="I51" s="562"/>
      <c r="J51" s="563"/>
      <c r="K51" s="564" t="s">
        <v>355</v>
      </c>
      <c r="L51" s="562"/>
      <c r="M51" s="562"/>
      <c r="N51" s="563"/>
      <c r="O51" s="97" t="s">
        <v>656</v>
      </c>
      <c r="P51" s="97" t="s">
        <v>257</v>
      </c>
      <c r="Q51" s="565" t="s">
        <v>311</v>
      </c>
      <c r="R51" s="566"/>
      <c r="S51" s="109"/>
      <c r="T51" s="91"/>
      <c r="U51" s="92"/>
      <c r="V51" s="21"/>
      <c r="AQ51" s="89"/>
    </row>
    <row r="52" spans="1:43" ht="13.15" customHeight="1" x14ac:dyDescent="0.2">
      <c r="A52" s="20"/>
      <c r="B52" s="424"/>
      <c r="C52" s="28"/>
      <c r="D52" s="28"/>
      <c r="E52" s="320"/>
      <c r="F52" s="349"/>
      <c r="G52" s="349"/>
      <c r="H52" s="349"/>
      <c r="I52" s="349"/>
      <c r="J52" s="350"/>
      <c r="K52" s="321"/>
      <c r="L52" s="349"/>
      <c r="M52" s="349"/>
      <c r="N52" s="350"/>
      <c r="O52" s="146"/>
      <c r="P52" s="146"/>
      <c r="Q52" s="351"/>
      <c r="R52" s="352"/>
      <c r="S52" s="88"/>
      <c r="U52" s="89"/>
      <c r="V52" s="21"/>
      <c r="AQ52" s="89"/>
    </row>
    <row r="53" spans="1:43" ht="13.15" customHeight="1" x14ac:dyDescent="0.2">
      <c r="A53" s="19" t="s">
        <v>212</v>
      </c>
      <c r="B53" s="60"/>
      <c r="C53" s="24" t="s">
        <v>313</v>
      </c>
      <c r="D53" s="24" t="s">
        <v>314</v>
      </c>
      <c r="E53" s="561" t="s">
        <v>315</v>
      </c>
      <c r="F53" s="562"/>
      <c r="G53" s="562"/>
      <c r="H53" s="562"/>
      <c r="I53" s="562"/>
      <c r="J53" s="563"/>
      <c r="K53" s="564" t="s">
        <v>356</v>
      </c>
      <c r="L53" s="562"/>
      <c r="M53" s="562"/>
      <c r="N53" s="563"/>
      <c r="O53" s="97" t="s">
        <v>656</v>
      </c>
      <c r="P53" s="97" t="s">
        <v>257</v>
      </c>
      <c r="Q53" s="565" t="s">
        <v>316</v>
      </c>
      <c r="R53" s="566"/>
      <c r="S53" s="109"/>
      <c r="T53" s="91"/>
      <c r="U53" s="92"/>
      <c r="V53" s="21"/>
      <c r="AQ53" s="89"/>
    </row>
    <row r="54" spans="1:43" ht="13.15" customHeight="1" x14ac:dyDescent="0.2">
      <c r="A54" s="20"/>
      <c r="B54" s="424"/>
      <c r="C54" s="28"/>
      <c r="D54" s="28"/>
      <c r="E54" s="320"/>
      <c r="F54" s="349"/>
      <c r="G54" s="349"/>
      <c r="H54" s="349"/>
      <c r="I54" s="349"/>
      <c r="J54" s="350"/>
      <c r="K54" s="321"/>
      <c r="L54" s="349"/>
      <c r="M54" s="349"/>
      <c r="N54" s="350"/>
      <c r="O54" s="110"/>
      <c r="P54" s="110"/>
      <c r="Q54" s="353"/>
      <c r="R54" s="352"/>
      <c r="S54" s="94"/>
      <c r="T54" s="95"/>
      <c r="U54" s="96"/>
      <c r="V54" s="21"/>
      <c r="W54" s="310"/>
      <c r="X54" s="310"/>
      <c r="Y54" s="311"/>
      <c r="Z54" s="311"/>
      <c r="AA54" s="311"/>
      <c r="AB54" s="311"/>
      <c r="AC54" s="311"/>
      <c r="AD54" s="311"/>
      <c r="AE54" s="310"/>
      <c r="AF54" s="311"/>
      <c r="AG54" s="311"/>
      <c r="AH54" s="311"/>
      <c r="AI54" s="310"/>
      <c r="AJ54" s="310"/>
      <c r="AK54" s="310"/>
      <c r="AL54" s="311"/>
      <c r="AM54" s="310"/>
      <c r="AN54" s="161"/>
      <c r="AO54" s="161"/>
      <c r="AP54" s="311"/>
      <c r="AQ54" s="89"/>
    </row>
    <row r="55" spans="1:43" ht="13.15" customHeight="1" x14ac:dyDescent="0.2">
      <c r="A55" s="19" t="s">
        <v>211</v>
      </c>
      <c r="B55" s="60"/>
      <c r="C55" s="29">
        <v>15</v>
      </c>
      <c r="D55" s="25">
        <v>400</v>
      </c>
      <c r="E55" s="561" t="s">
        <v>273</v>
      </c>
      <c r="F55" s="562"/>
      <c r="G55" s="562"/>
      <c r="H55" s="562"/>
      <c r="I55" s="562"/>
      <c r="J55" s="563"/>
      <c r="K55" s="564" t="s">
        <v>667</v>
      </c>
      <c r="L55" s="562"/>
      <c r="M55" s="562"/>
      <c r="N55" s="563"/>
      <c r="O55" s="97" t="s">
        <v>656</v>
      </c>
      <c r="P55" s="97"/>
      <c r="Q55" s="565" t="s">
        <v>312</v>
      </c>
      <c r="R55" s="566"/>
      <c r="S55" s="825" t="s">
        <v>666</v>
      </c>
      <c r="T55" s="552"/>
      <c r="U55" s="826"/>
      <c r="V55" s="21"/>
      <c r="W55" s="624" t="s">
        <v>259</v>
      </c>
      <c r="X55" s="551" t="s">
        <v>197</v>
      </c>
      <c r="Y55" s="552"/>
      <c r="Z55" s="552"/>
      <c r="AA55" s="552"/>
      <c r="AB55" s="552"/>
      <c r="AC55" s="552"/>
      <c r="AD55" s="553"/>
      <c r="AE55" s="557" t="s">
        <v>241</v>
      </c>
      <c r="AF55" s="552"/>
      <c r="AG55" s="552"/>
      <c r="AH55" s="553"/>
      <c r="AI55" s="559" t="s">
        <v>243</v>
      </c>
      <c r="AJ55" s="559" t="s">
        <v>242</v>
      </c>
      <c r="AK55" s="557" t="s">
        <v>244</v>
      </c>
      <c r="AL55" s="553"/>
      <c r="AM55" s="557" t="s">
        <v>245</v>
      </c>
      <c r="AN55" s="626"/>
      <c r="AO55" s="626"/>
      <c r="AP55" s="627"/>
      <c r="AQ55" s="89"/>
    </row>
    <row r="56" spans="1:43" ht="13.15" customHeight="1" x14ac:dyDescent="0.2">
      <c r="A56" s="19"/>
      <c r="B56" s="60"/>
      <c r="C56" s="24"/>
      <c r="D56" s="23"/>
      <c r="E56" s="155"/>
      <c r="F56" s="160"/>
      <c r="G56" s="160"/>
      <c r="H56" s="160"/>
      <c r="I56" s="160"/>
      <c r="J56" s="181"/>
      <c r="K56" s="182"/>
      <c r="L56" s="160"/>
      <c r="M56" s="160"/>
      <c r="N56" s="181"/>
      <c r="O56" s="98"/>
      <c r="P56" s="98"/>
      <c r="Q56" s="183"/>
      <c r="R56" s="183"/>
      <c r="S56" s="93"/>
      <c r="T56" s="311"/>
      <c r="U56" s="371"/>
      <c r="V56" s="21"/>
      <c r="W56" s="625"/>
      <c r="X56" s="554"/>
      <c r="Y56" s="555"/>
      <c r="Z56" s="555"/>
      <c r="AA56" s="555"/>
      <c r="AB56" s="555"/>
      <c r="AC56" s="555"/>
      <c r="AD56" s="556"/>
      <c r="AE56" s="558"/>
      <c r="AF56" s="555"/>
      <c r="AG56" s="555"/>
      <c r="AH56" s="556"/>
      <c r="AI56" s="560"/>
      <c r="AJ56" s="560"/>
      <c r="AK56" s="558"/>
      <c r="AL56" s="556"/>
      <c r="AM56" s="628"/>
      <c r="AN56" s="586"/>
      <c r="AO56" s="586"/>
      <c r="AP56" s="629"/>
      <c r="AQ56" s="89"/>
    </row>
    <row r="57" spans="1:43" ht="13.15" customHeight="1" x14ac:dyDescent="0.2">
      <c r="A57" s="19"/>
      <c r="B57" s="60"/>
      <c r="C57" s="28"/>
      <c r="D57" s="27"/>
      <c r="E57" s="122"/>
      <c r="F57" s="123"/>
      <c r="G57" s="123"/>
      <c r="H57" s="123"/>
      <c r="I57" s="123"/>
      <c r="J57" s="112"/>
      <c r="K57" s="355"/>
      <c r="L57" s="123"/>
      <c r="M57" s="123"/>
      <c r="N57" s="112"/>
      <c r="O57" s="146"/>
      <c r="P57" s="146"/>
      <c r="Q57" s="123"/>
      <c r="R57" s="123"/>
      <c r="S57" s="88"/>
      <c r="U57" s="89"/>
      <c r="V57" s="21"/>
      <c r="W57" s="127" t="s">
        <v>390</v>
      </c>
      <c r="X57" s="630" t="s">
        <v>349</v>
      </c>
      <c r="Y57" s="552"/>
      <c r="Z57" s="552"/>
      <c r="AA57" s="552"/>
      <c r="AB57" s="552"/>
      <c r="AC57" s="552"/>
      <c r="AD57" s="553"/>
      <c r="AE57" s="572">
        <v>1.4571000000000001</v>
      </c>
      <c r="AF57" s="573"/>
      <c r="AG57" s="573"/>
      <c r="AH57" s="574"/>
      <c r="AI57" s="125" t="s">
        <v>236</v>
      </c>
      <c r="AJ57" s="125" t="s">
        <v>246</v>
      </c>
      <c r="AK57" s="575" t="s">
        <v>359</v>
      </c>
      <c r="AL57" s="576"/>
      <c r="AM57" s="90"/>
      <c r="AN57" s="91"/>
      <c r="AO57" s="91"/>
      <c r="AP57" s="129"/>
      <c r="AQ57" s="89"/>
    </row>
    <row r="58" spans="1:43" ht="13.15" customHeight="1" x14ac:dyDescent="0.2">
      <c r="A58" s="375" t="s">
        <v>547</v>
      </c>
      <c r="B58" s="462"/>
      <c r="C58" s="376"/>
      <c r="D58" s="376"/>
      <c r="E58" s="587"/>
      <c r="F58" s="588"/>
      <c r="G58" s="588"/>
      <c r="H58" s="588"/>
      <c r="I58" s="588"/>
      <c r="J58" s="589"/>
      <c r="K58" s="590"/>
      <c r="L58" s="588"/>
      <c r="M58" s="588"/>
      <c r="N58" s="589"/>
      <c r="O58" s="377" t="s">
        <v>308</v>
      </c>
      <c r="P58" s="377"/>
      <c r="Q58" s="591" t="s">
        <v>549</v>
      </c>
      <c r="R58" s="592"/>
      <c r="S58" s="378"/>
      <c r="T58" s="379"/>
      <c r="U58" s="380"/>
      <c r="V58" s="21"/>
      <c r="W58" s="128" t="s">
        <v>391</v>
      </c>
      <c r="X58" s="546" t="s">
        <v>350</v>
      </c>
      <c r="Y58" s="547"/>
      <c r="Z58" s="547"/>
      <c r="AA58" s="547"/>
      <c r="AB58" s="547"/>
      <c r="AC58" s="547"/>
      <c r="AD58" s="548"/>
      <c r="AE58" s="541">
        <v>1.4571000000000001</v>
      </c>
      <c r="AF58" s="542"/>
      <c r="AG58" s="542"/>
      <c r="AH58" s="543"/>
      <c r="AI58" s="126" t="s">
        <v>236</v>
      </c>
      <c r="AJ58" s="126" t="s">
        <v>246</v>
      </c>
      <c r="AK58" s="544" t="s">
        <v>359</v>
      </c>
      <c r="AL58" s="545"/>
      <c r="AM58" s="88"/>
      <c r="AP58" s="130"/>
      <c r="AQ58" s="89"/>
    </row>
    <row r="59" spans="1:43" ht="13.15" customHeight="1" x14ac:dyDescent="0.2">
      <c r="A59" s="26" t="s">
        <v>278</v>
      </c>
      <c r="B59" s="60"/>
      <c r="C59" s="24" t="s">
        <v>210</v>
      </c>
      <c r="D59" s="25">
        <v>150</v>
      </c>
      <c r="E59" s="561" t="s">
        <v>511</v>
      </c>
      <c r="F59" s="562"/>
      <c r="G59" s="562"/>
      <c r="H59" s="562"/>
      <c r="I59" s="562"/>
      <c r="J59" s="563"/>
      <c r="K59" s="564">
        <v>1.4403999999999999</v>
      </c>
      <c r="L59" s="562"/>
      <c r="M59" s="562"/>
      <c r="N59" s="563"/>
      <c r="O59" s="97" t="s">
        <v>308</v>
      </c>
      <c r="P59" s="97" t="s">
        <v>283</v>
      </c>
      <c r="Q59" s="565" t="s">
        <v>266</v>
      </c>
      <c r="R59" s="566"/>
      <c r="S59" s="109"/>
      <c r="T59" s="91"/>
      <c r="U59" s="92"/>
      <c r="V59" s="21"/>
      <c r="W59" s="128" t="s">
        <v>345</v>
      </c>
      <c r="X59" s="546" t="s">
        <v>431</v>
      </c>
      <c r="Y59" s="547"/>
      <c r="Z59" s="547"/>
      <c r="AA59" s="547"/>
      <c r="AB59" s="547"/>
      <c r="AC59" s="547"/>
      <c r="AD59" s="548"/>
      <c r="AE59" s="541" t="s">
        <v>439</v>
      </c>
      <c r="AF59" s="542"/>
      <c r="AG59" s="542"/>
      <c r="AH59" s="543"/>
      <c r="AI59" s="126" t="s">
        <v>236</v>
      </c>
      <c r="AJ59" s="126" t="s">
        <v>328</v>
      </c>
      <c r="AK59" s="544" t="s">
        <v>347</v>
      </c>
      <c r="AL59" s="545"/>
      <c r="AM59" s="88"/>
      <c r="AP59" s="130"/>
      <c r="AQ59" s="89"/>
    </row>
    <row r="60" spans="1:43" ht="13.15" customHeight="1" x14ac:dyDescent="0.2">
      <c r="A60" s="178" t="s">
        <v>279</v>
      </c>
      <c r="B60" s="374"/>
      <c r="C60" s="24">
        <v>200</v>
      </c>
      <c r="D60" s="23" t="s">
        <v>277</v>
      </c>
      <c r="E60" s="583" t="s">
        <v>509</v>
      </c>
      <c r="F60" s="549"/>
      <c r="G60" s="549"/>
      <c r="H60" s="549"/>
      <c r="I60" s="549"/>
      <c r="J60" s="550"/>
      <c r="K60" s="885">
        <v>1.4403999999999999</v>
      </c>
      <c r="L60" s="883"/>
      <c r="M60" s="883"/>
      <c r="N60" s="884"/>
      <c r="O60" s="98" t="s">
        <v>308</v>
      </c>
      <c r="P60" s="98" t="s">
        <v>283</v>
      </c>
      <c r="Q60" s="570" t="s">
        <v>266</v>
      </c>
      <c r="R60" s="571"/>
      <c r="S60" s="88"/>
      <c r="U60" s="89"/>
      <c r="V60" s="21"/>
      <c r="W60" s="128" t="s">
        <v>345</v>
      </c>
      <c r="X60" s="546" t="s">
        <v>431</v>
      </c>
      <c r="Y60" s="547"/>
      <c r="Z60" s="547"/>
      <c r="AA60" s="547"/>
      <c r="AB60" s="547"/>
      <c r="AC60" s="547"/>
      <c r="AD60" s="548"/>
      <c r="AE60" s="541" t="s">
        <v>541</v>
      </c>
      <c r="AF60" s="542"/>
      <c r="AG60" s="542"/>
      <c r="AH60" s="543"/>
      <c r="AI60" s="126" t="s">
        <v>236</v>
      </c>
      <c r="AJ60" s="126" t="s">
        <v>328</v>
      </c>
      <c r="AK60" s="544" t="s">
        <v>347</v>
      </c>
      <c r="AL60" s="545"/>
      <c r="AM60" s="329" t="s">
        <v>464</v>
      </c>
      <c r="AP60" s="130"/>
      <c r="AQ60" s="89"/>
    </row>
    <row r="61" spans="1:43" ht="13.15" customHeight="1" x14ac:dyDescent="0.2">
      <c r="A61" s="178" t="s">
        <v>280</v>
      </c>
      <c r="B61" s="374"/>
      <c r="C61" s="24"/>
      <c r="D61" s="23"/>
      <c r="E61" s="184"/>
      <c r="F61" s="179"/>
      <c r="G61" s="179"/>
      <c r="H61" s="179"/>
      <c r="I61" s="179"/>
      <c r="J61" s="179"/>
      <c r="K61" s="179"/>
      <c r="L61" s="179"/>
      <c r="M61" s="179"/>
      <c r="N61" s="179"/>
      <c r="O61" s="179"/>
      <c r="P61" s="179"/>
      <c r="Q61" s="179"/>
      <c r="R61" s="180"/>
      <c r="S61" s="88"/>
      <c r="U61" s="89"/>
      <c r="V61" s="21"/>
      <c r="W61" s="128" t="s">
        <v>346</v>
      </c>
      <c r="X61" s="546" t="s">
        <v>432</v>
      </c>
      <c r="Y61" s="547"/>
      <c r="Z61" s="547"/>
      <c r="AA61" s="547"/>
      <c r="AB61" s="547"/>
      <c r="AC61" s="547"/>
      <c r="AD61" s="548"/>
      <c r="AE61" s="541" t="s">
        <v>541</v>
      </c>
      <c r="AF61" s="542"/>
      <c r="AG61" s="542"/>
      <c r="AH61" s="543"/>
      <c r="AI61" s="126" t="s">
        <v>236</v>
      </c>
      <c r="AJ61" s="126" t="s">
        <v>328</v>
      </c>
      <c r="AK61" s="544" t="s">
        <v>347</v>
      </c>
      <c r="AL61" s="545"/>
      <c r="AM61" s="329" t="s">
        <v>631</v>
      </c>
      <c r="AP61" s="130"/>
      <c r="AQ61" s="89"/>
    </row>
    <row r="62" spans="1:43" ht="13.15" customHeight="1" x14ac:dyDescent="0.2">
      <c r="A62" s="178" t="s">
        <v>281</v>
      </c>
      <c r="B62" s="374"/>
      <c r="C62" s="24"/>
      <c r="D62" s="23"/>
      <c r="E62" s="155"/>
      <c r="F62" s="80"/>
      <c r="G62" s="80"/>
      <c r="H62" s="80"/>
      <c r="I62" s="80"/>
      <c r="J62" s="80"/>
      <c r="K62" s="80"/>
      <c r="L62" s="80"/>
      <c r="M62" s="80"/>
      <c r="N62" s="80"/>
      <c r="O62" s="80"/>
      <c r="P62" s="80"/>
      <c r="Q62" s="80"/>
      <c r="R62" s="80"/>
      <c r="S62" s="88"/>
      <c r="U62" s="89"/>
      <c r="V62" s="21"/>
      <c r="W62" s="128" t="s">
        <v>328</v>
      </c>
      <c r="X62" s="546" t="s">
        <v>395</v>
      </c>
      <c r="Y62" s="547"/>
      <c r="Z62" s="547"/>
      <c r="AA62" s="547"/>
      <c r="AB62" s="547"/>
      <c r="AC62" s="547"/>
      <c r="AD62" s="548"/>
      <c r="AE62" s="541" t="s">
        <v>440</v>
      </c>
      <c r="AF62" s="549"/>
      <c r="AG62" s="549"/>
      <c r="AH62" s="550"/>
      <c r="AI62" s="126" t="s">
        <v>236</v>
      </c>
      <c r="AJ62" s="126" t="s">
        <v>328</v>
      </c>
      <c r="AK62" s="544" t="s">
        <v>347</v>
      </c>
      <c r="AL62" s="545"/>
      <c r="AM62" s="329" t="s">
        <v>631</v>
      </c>
      <c r="AP62" s="130"/>
      <c r="AQ62" s="89"/>
    </row>
    <row r="63" spans="1:43" ht="13.15" customHeight="1" x14ac:dyDescent="0.2">
      <c r="A63" s="178" t="s">
        <v>282</v>
      </c>
      <c r="B63" s="374"/>
      <c r="C63" s="23"/>
      <c r="D63" s="22"/>
      <c r="E63" s="155"/>
      <c r="F63" s="80"/>
      <c r="G63" s="80"/>
      <c r="H63" s="80"/>
      <c r="I63" s="80"/>
      <c r="J63" s="80"/>
      <c r="K63" s="80"/>
      <c r="L63" s="80"/>
      <c r="M63" s="80"/>
      <c r="N63" s="80"/>
      <c r="O63" s="80"/>
      <c r="P63" s="80"/>
      <c r="Q63" s="80"/>
      <c r="R63" s="80"/>
      <c r="S63" s="94"/>
      <c r="T63" s="95"/>
      <c r="U63" s="96"/>
      <c r="V63" s="21"/>
      <c r="W63" s="132"/>
      <c r="X63" s="94"/>
      <c r="Y63" s="95"/>
      <c r="Z63" s="95"/>
      <c r="AA63" s="95"/>
      <c r="AB63" s="95"/>
      <c r="AC63" s="95"/>
      <c r="AD63" s="133"/>
      <c r="AE63" s="134"/>
      <c r="AF63" s="95"/>
      <c r="AG63" s="95"/>
      <c r="AH63" s="133"/>
      <c r="AI63" s="135"/>
      <c r="AJ63" s="135"/>
      <c r="AK63" s="134"/>
      <c r="AL63" s="131"/>
      <c r="AM63" s="95"/>
      <c r="AN63" s="95"/>
      <c r="AO63" s="95"/>
      <c r="AP63" s="131"/>
      <c r="AQ63" s="89"/>
    </row>
    <row r="64" spans="1:43" ht="13.15" customHeight="1" x14ac:dyDescent="0.2">
      <c r="A64" s="900" t="s">
        <v>661</v>
      </c>
      <c r="B64" s="901"/>
      <c r="C64" s="828"/>
      <c r="D64" s="828"/>
      <c r="E64" s="828"/>
      <c r="F64" s="828"/>
      <c r="G64" s="828"/>
      <c r="H64" s="828"/>
      <c r="I64" s="828"/>
      <c r="J64" s="828"/>
      <c r="K64" s="828"/>
      <c r="L64" s="828"/>
      <c r="M64" s="828"/>
      <c r="N64" s="828"/>
      <c r="O64" s="828"/>
      <c r="P64" s="828"/>
      <c r="Q64" s="828"/>
      <c r="R64" s="902"/>
      <c r="S64" s="327" t="s">
        <v>479</v>
      </c>
      <c r="T64" s="91"/>
      <c r="U64" s="92"/>
      <c r="V64" s="21"/>
      <c r="AQ64" s="89"/>
    </row>
    <row r="65" spans="1:43" ht="13.15" customHeight="1" x14ac:dyDescent="0.2">
      <c r="A65" s="903"/>
      <c r="B65" s="831"/>
      <c r="C65" s="831"/>
      <c r="D65" s="831"/>
      <c r="E65" s="831"/>
      <c r="F65" s="831"/>
      <c r="G65" s="831"/>
      <c r="H65" s="831"/>
      <c r="I65" s="831"/>
      <c r="J65" s="831"/>
      <c r="K65" s="831"/>
      <c r="L65" s="831"/>
      <c r="M65" s="831"/>
      <c r="N65" s="831"/>
      <c r="O65" s="831"/>
      <c r="P65" s="831"/>
      <c r="Q65" s="831"/>
      <c r="R65" s="904"/>
      <c r="S65" s="93" t="s">
        <v>480</v>
      </c>
      <c r="U65" s="89"/>
      <c r="V65" s="21"/>
      <c r="AQ65" s="89"/>
    </row>
    <row r="66" spans="1:43" ht="13.15" customHeight="1" x14ac:dyDescent="0.2">
      <c r="A66" s="903"/>
      <c r="B66" s="831"/>
      <c r="C66" s="831"/>
      <c r="D66" s="831"/>
      <c r="E66" s="831"/>
      <c r="F66" s="831"/>
      <c r="G66" s="831"/>
      <c r="H66" s="831"/>
      <c r="I66" s="831"/>
      <c r="J66" s="831"/>
      <c r="K66" s="831"/>
      <c r="L66" s="831"/>
      <c r="M66" s="831"/>
      <c r="N66" s="831"/>
      <c r="O66" s="831"/>
      <c r="P66" s="831"/>
      <c r="Q66" s="831"/>
      <c r="R66" s="904"/>
      <c r="S66" s="93" t="s">
        <v>486</v>
      </c>
      <c r="U66" s="89"/>
      <c r="V66" s="21"/>
      <c r="AQ66" s="89"/>
    </row>
    <row r="67" spans="1:43" ht="13.15" customHeight="1" x14ac:dyDescent="0.2">
      <c r="A67" s="903"/>
      <c r="B67" s="831"/>
      <c r="C67" s="831"/>
      <c r="D67" s="831"/>
      <c r="E67" s="831"/>
      <c r="F67" s="831"/>
      <c r="G67" s="831"/>
      <c r="H67" s="831"/>
      <c r="I67" s="831"/>
      <c r="J67" s="831"/>
      <c r="K67" s="831"/>
      <c r="L67" s="831"/>
      <c r="M67" s="831"/>
      <c r="N67" s="831"/>
      <c r="O67" s="831"/>
      <c r="P67" s="831"/>
      <c r="Q67" s="831"/>
      <c r="R67" s="904"/>
      <c r="S67" s="93" t="s">
        <v>487</v>
      </c>
      <c r="U67" s="89"/>
      <c r="V67" s="21"/>
      <c r="AQ67" s="89"/>
    </row>
    <row r="68" spans="1:43" ht="13.15" customHeight="1" x14ac:dyDescent="0.2">
      <c r="A68" s="903"/>
      <c r="B68" s="831"/>
      <c r="C68" s="831"/>
      <c r="D68" s="831"/>
      <c r="E68" s="831"/>
      <c r="F68" s="831"/>
      <c r="G68" s="831"/>
      <c r="H68" s="831"/>
      <c r="I68" s="831"/>
      <c r="J68" s="831"/>
      <c r="K68" s="831"/>
      <c r="L68" s="831"/>
      <c r="M68" s="831"/>
      <c r="N68" s="831"/>
      <c r="O68" s="831"/>
      <c r="P68" s="831"/>
      <c r="Q68" s="831"/>
      <c r="R68" s="904"/>
      <c r="S68" s="93" t="s">
        <v>488</v>
      </c>
      <c r="U68" s="89"/>
      <c r="V68" s="21"/>
      <c r="AQ68" s="89"/>
    </row>
    <row r="69" spans="1:43" ht="13.15" customHeight="1" x14ac:dyDescent="0.2">
      <c r="A69" s="903"/>
      <c r="B69" s="831"/>
      <c r="C69" s="831"/>
      <c r="D69" s="831"/>
      <c r="E69" s="831"/>
      <c r="F69" s="831"/>
      <c r="G69" s="831"/>
      <c r="H69" s="831"/>
      <c r="I69" s="831"/>
      <c r="J69" s="831"/>
      <c r="K69" s="831"/>
      <c r="L69" s="831"/>
      <c r="M69" s="831"/>
      <c r="N69" s="831"/>
      <c r="O69" s="831"/>
      <c r="P69" s="831"/>
      <c r="Q69" s="831"/>
      <c r="R69" s="904"/>
      <c r="S69" s="60" t="s">
        <v>499</v>
      </c>
      <c r="U69" s="89"/>
      <c r="V69" s="21"/>
      <c r="AQ69" s="89"/>
    </row>
    <row r="70" spans="1:43" ht="13.15" customHeight="1" x14ac:dyDescent="0.2">
      <c r="A70" s="622" t="s">
        <v>535</v>
      </c>
      <c r="B70" s="623"/>
      <c r="C70" s="623"/>
      <c r="D70" s="623"/>
      <c r="E70" s="623"/>
      <c r="F70" s="623"/>
      <c r="G70" s="623"/>
      <c r="H70" s="623"/>
      <c r="I70" s="623"/>
      <c r="J70" s="623"/>
      <c r="K70" s="623"/>
      <c r="L70" s="623"/>
      <c r="M70" s="623"/>
      <c r="N70" s="623"/>
      <c r="O70" s="623"/>
      <c r="P70" s="623"/>
      <c r="Q70" s="623"/>
      <c r="R70" s="623"/>
      <c r="S70" s="93" t="s">
        <v>498</v>
      </c>
      <c r="U70" s="89"/>
      <c r="V70" s="21"/>
      <c r="AQ70" s="89"/>
    </row>
    <row r="71" spans="1:43" ht="13.15" customHeight="1" x14ac:dyDescent="0.2">
      <c r="A71" s="19" t="s">
        <v>260</v>
      </c>
      <c r="B71" s="435"/>
      <c r="C71" s="583" t="s">
        <v>269</v>
      </c>
      <c r="D71" s="602"/>
      <c r="E71" s="602"/>
      <c r="F71" s="602"/>
      <c r="G71" s="602"/>
      <c r="H71" s="602"/>
      <c r="I71" s="602"/>
      <c r="J71" s="602"/>
      <c r="K71" s="602"/>
      <c r="L71" s="602"/>
      <c r="M71" s="602"/>
      <c r="N71" s="602"/>
      <c r="O71" s="602"/>
      <c r="P71" s="602"/>
      <c r="Q71" s="602"/>
      <c r="R71" s="602"/>
      <c r="S71" s="93" t="s">
        <v>489</v>
      </c>
      <c r="U71" s="89"/>
      <c r="V71" s="21"/>
      <c r="AQ71" s="89"/>
    </row>
    <row r="72" spans="1:43" ht="13.15" customHeight="1" x14ac:dyDescent="0.2">
      <c r="A72" s="375" t="s">
        <v>478</v>
      </c>
      <c r="B72" s="463"/>
      <c r="C72" s="587" t="s">
        <v>269</v>
      </c>
      <c r="D72" s="609"/>
      <c r="E72" s="609"/>
      <c r="F72" s="609"/>
      <c r="G72" s="609"/>
      <c r="H72" s="609"/>
      <c r="I72" s="609"/>
      <c r="J72" s="609"/>
      <c r="K72" s="609"/>
      <c r="L72" s="609"/>
      <c r="M72" s="609"/>
      <c r="N72" s="609"/>
      <c r="O72" s="609"/>
      <c r="P72" s="609"/>
      <c r="Q72" s="609"/>
      <c r="R72" s="609"/>
      <c r="S72" s="93" t="s">
        <v>490</v>
      </c>
      <c r="U72" s="89"/>
      <c r="V72" s="21"/>
      <c r="AQ72" s="89"/>
    </row>
    <row r="73" spans="1:43" ht="13.15" customHeight="1" x14ac:dyDescent="0.2">
      <c r="A73" s="19" t="s">
        <v>372</v>
      </c>
      <c r="B73" s="60"/>
      <c r="C73" s="583" t="s">
        <v>320</v>
      </c>
      <c r="D73" s="600"/>
      <c r="E73" s="600"/>
      <c r="F73" s="600"/>
      <c r="G73" s="600"/>
      <c r="H73" s="600"/>
      <c r="I73" s="600"/>
      <c r="J73" s="600"/>
      <c r="K73" s="600"/>
      <c r="L73" s="600"/>
      <c r="M73" s="600"/>
      <c r="N73" s="600"/>
      <c r="O73" s="600"/>
      <c r="P73" s="600"/>
      <c r="Q73" s="600"/>
      <c r="R73" s="600"/>
      <c r="S73" s="93" t="s">
        <v>491</v>
      </c>
      <c r="U73" s="89"/>
      <c r="V73" s="21"/>
      <c r="AQ73" s="89"/>
    </row>
    <row r="74" spans="1:43" ht="13.15" customHeight="1" x14ac:dyDescent="0.2">
      <c r="A74" s="19" t="s">
        <v>373</v>
      </c>
      <c r="B74" s="60"/>
      <c r="C74" s="610" t="s">
        <v>626</v>
      </c>
      <c r="D74" s="611"/>
      <c r="E74" s="611"/>
      <c r="F74" s="611"/>
      <c r="G74" s="611"/>
      <c r="H74" s="611"/>
      <c r="I74" s="611"/>
      <c r="J74" s="611"/>
      <c r="K74" s="611"/>
      <c r="L74" s="611"/>
      <c r="M74" s="611"/>
      <c r="N74" s="611"/>
      <c r="O74" s="611"/>
      <c r="P74" s="611"/>
      <c r="Q74" s="611"/>
      <c r="R74" s="612"/>
      <c r="S74" s="93" t="s">
        <v>492</v>
      </c>
      <c r="U74" s="89"/>
      <c r="V74" s="21"/>
      <c r="AQ74" s="89"/>
    </row>
    <row r="75" spans="1:43" ht="13.15" customHeight="1" x14ac:dyDescent="0.2">
      <c r="A75" s="19" t="s">
        <v>261</v>
      </c>
      <c r="B75" s="60"/>
      <c r="C75" s="610" t="s">
        <v>321</v>
      </c>
      <c r="D75" s="613"/>
      <c r="E75" s="613"/>
      <c r="F75" s="613"/>
      <c r="G75" s="613"/>
      <c r="H75" s="613"/>
      <c r="I75" s="613"/>
      <c r="J75" s="613"/>
      <c r="K75" s="613"/>
      <c r="L75" s="613"/>
      <c r="M75" s="613"/>
      <c r="N75" s="613"/>
      <c r="O75" s="613"/>
      <c r="P75" s="613"/>
      <c r="Q75" s="613"/>
      <c r="R75" s="614"/>
      <c r="S75" s="93" t="s">
        <v>493</v>
      </c>
      <c r="U75" s="89"/>
      <c r="V75" s="21"/>
      <c r="AQ75" s="89"/>
    </row>
    <row r="76" spans="1:43" ht="13.15" customHeight="1" x14ac:dyDescent="0.2">
      <c r="A76" s="19" t="s">
        <v>262</v>
      </c>
      <c r="B76" s="60"/>
      <c r="C76" s="583" t="s">
        <v>381</v>
      </c>
      <c r="D76" s="600"/>
      <c r="E76" s="600"/>
      <c r="F76" s="600"/>
      <c r="G76" s="600"/>
      <c r="H76" s="600"/>
      <c r="I76" s="600"/>
      <c r="J76" s="600"/>
      <c r="K76" s="600"/>
      <c r="L76" s="600"/>
      <c r="M76" s="600"/>
      <c r="N76" s="600"/>
      <c r="O76" s="600"/>
      <c r="P76" s="600"/>
      <c r="Q76" s="600"/>
      <c r="R76" s="600"/>
      <c r="S76" s="88"/>
      <c r="U76" s="89"/>
      <c r="V76" s="21"/>
      <c r="AQ76" s="89"/>
    </row>
    <row r="77" spans="1:43" ht="13.15" customHeight="1" x14ac:dyDescent="0.2">
      <c r="A77" s="19"/>
      <c r="B77" s="60"/>
      <c r="C77" s="583" t="s">
        <v>228</v>
      </c>
      <c r="D77" s="600"/>
      <c r="E77" s="600"/>
      <c r="F77" s="600"/>
      <c r="G77" s="600"/>
      <c r="H77" s="600"/>
      <c r="I77" s="600"/>
      <c r="J77" s="600"/>
      <c r="K77" s="600"/>
      <c r="L77" s="600"/>
      <c r="M77" s="600"/>
      <c r="N77" s="600"/>
      <c r="O77" s="600"/>
      <c r="P77" s="600"/>
      <c r="Q77" s="600"/>
      <c r="R77" s="600"/>
      <c r="S77" s="88"/>
      <c r="U77" s="89"/>
      <c r="V77" s="21"/>
      <c r="AQ77" s="89"/>
    </row>
    <row r="78" spans="1:43" ht="13.15" customHeight="1" thickBot="1" x14ac:dyDescent="0.25">
      <c r="A78" s="19"/>
      <c r="B78" s="60"/>
      <c r="C78" s="583" t="s">
        <v>270</v>
      </c>
      <c r="D78" s="602"/>
      <c r="E78" s="602"/>
      <c r="F78" s="602"/>
      <c r="G78" s="602"/>
      <c r="H78" s="602"/>
      <c r="I78" s="602"/>
      <c r="J78" s="602"/>
      <c r="K78" s="602"/>
      <c r="L78" s="602"/>
      <c r="M78" s="602"/>
      <c r="N78" s="602"/>
      <c r="O78" s="602"/>
      <c r="P78" s="602"/>
      <c r="Q78" s="602"/>
      <c r="R78" s="602"/>
      <c r="S78" s="326"/>
      <c r="T78" s="143"/>
      <c r="U78" s="144"/>
      <c r="V78" s="21"/>
      <c r="W78" s="143"/>
      <c r="X78" s="143"/>
      <c r="Y78" s="143"/>
      <c r="Z78" s="143"/>
      <c r="AA78" s="143"/>
      <c r="AB78" s="143"/>
      <c r="AC78" s="143"/>
      <c r="AD78" s="143"/>
      <c r="AE78" s="143"/>
      <c r="AF78" s="143"/>
      <c r="AG78" s="143"/>
      <c r="AH78" s="143"/>
      <c r="AI78" s="143"/>
      <c r="AJ78" s="143"/>
      <c r="AK78" s="143"/>
      <c r="AL78" s="143"/>
      <c r="AM78" s="143"/>
      <c r="AN78" s="143"/>
      <c r="AO78" s="143"/>
      <c r="AP78" s="143"/>
      <c r="AQ78" s="89"/>
    </row>
    <row r="79" spans="1:43" ht="13.15" customHeight="1" x14ac:dyDescent="0.2">
      <c r="A79" s="162" t="s">
        <v>209</v>
      </c>
      <c r="B79" s="464"/>
      <c r="C79" s="18" t="s">
        <v>208</v>
      </c>
      <c r="D79" s="16"/>
      <c r="E79" s="18" t="s">
        <v>207</v>
      </c>
      <c r="F79" s="18"/>
      <c r="G79" s="18" t="s">
        <v>206</v>
      </c>
      <c r="H79" s="17" t="e">
        <f>#REF!</f>
        <v>#REF!</v>
      </c>
      <c r="I79" s="16"/>
      <c r="J79" s="16"/>
      <c r="K79" s="16"/>
      <c r="L79" s="16"/>
      <c r="M79" s="16"/>
      <c r="N79" s="16"/>
      <c r="O79" s="16"/>
      <c r="P79" s="16"/>
      <c r="Q79" s="16"/>
      <c r="R79" s="16"/>
      <c r="S79" s="103"/>
      <c r="T79" s="103"/>
      <c r="U79" s="145"/>
      <c r="V79" s="173"/>
      <c r="W79" s="907" t="s">
        <v>209</v>
      </c>
      <c r="X79" s="908"/>
      <c r="Y79" s="18" t="s">
        <v>208</v>
      </c>
      <c r="Z79" s="16"/>
      <c r="AA79" s="18" t="s">
        <v>207</v>
      </c>
      <c r="AB79" s="18"/>
      <c r="AC79" s="18" t="s">
        <v>206</v>
      </c>
      <c r="AD79" s="17" t="e">
        <f>H79</f>
        <v>#REF!</v>
      </c>
      <c r="AE79" s="16"/>
      <c r="AF79" s="16"/>
      <c r="AG79" s="16"/>
      <c r="AH79" s="16"/>
      <c r="AI79" s="16"/>
      <c r="AJ79" s="16"/>
      <c r="AK79" s="16"/>
      <c r="AL79" s="16"/>
      <c r="AM79" s="16"/>
      <c r="AN79" s="103"/>
      <c r="AO79" s="103"/>
      <c r="AP79" s="103"/>
      <c r="AQ79" s="145"/>
    </row>
    <row r="80" spans="1:43" ht="13.15" customHeight="1" thickBot="1" x14ac:dyDescent="0.25">
      <c r="A80" s="159" t="e">
        <f>#REF!</f>
        <v>#REF!</v>
      </c>
      <c r="B80" s="175"/>
      <c r="C80" s="603" t="e">
        <f>#REF!</f>
        <v>#REF!</v>
      </c>
      <c r="D80" s="604"/>
      <c r="E80" s="605" t="e">
        <f>#REF!</f>
        <v>#REF!</v>
      </c>
      <c r="F80" s="606"/>
      <c r="G80" s="15"/>
      <c r="H80" s="14"/>
      <c r="I80" s="14"/>
      <c r="J80" s="14"/>
      <c r="K80" s="14"/>
      <c r="L80" s="14"/>
      <c r="M80" s="14"/>
      <c r="N80" s="14"/>
      <c r="O80" s="14"/>
      <c r="P80" s="14"/>
      <c r="Q80" s="14"/>
      <c r="R80" s="14"/>
      <c r="S80" s="143"/>
      <c r="T80" s="143"/>
      <c r="U80" s="144"/>
      <c r="V80" s="121"/>
      <c r="W80" s="905" t="e">
        <f>A80</f>
        <v>#REF!</v>
      </c>
      <c r="X80" s="906"/>
      <c r="Y80" s="603" t="e">
        <f>C80</f>
        <v>#REF!</v>
      </c>
      <c r="Z80" s="607"/>
      <c r="AA80" s="605" t="e">
        <f>E80</f>
        <v>#REF!</v>
      </c>
      <c r="AB80" s="608"/>
      <c r="AC80" s="15"/>
      <c r="AD80" s="14"/>
      <c r="AE80" s="14"/>
      <c r="AF80" s="14"/>
      <c r="AG80" s="14"/>
      <c r="AH80" s="14"/>
      <c r="AI80" s="14"/>
      <c r="AJ80" s="14"/>
      <c r="AK80" s="14"/>
      <c r="AL80" s="14"/>
      <c r="AM80" s="14"/>
      <c r="AN80" s="143"/>
      <c r="AO80" s="143"/>
      <c r="AP80" s="143"/>
      <c r="AQ80" s="144"/>
    </row>
  </sheetData>
  <mergeCells count="136">
    <mergeCell ref="AM55:AP56"/>
    <mergeCell ref="V19:V37"/>
    <mergeCell ref="X39:AP39"/>
    <mergeCell ref="X18:AP18"/>
    <mergeCell ref="E39:J39"/>
    <mergeCell ref="C73:R73"/>
    <mergeCell ref="E20:J20"/>
    <mergeCell ref="K20:N20"/>
    <mergeCell ref="E21:J21"/>
    <mergeCell ref="K21:N21"/>
    <mergeCell ref="Q21:R21"/>
    <mergeCell ref="Q20:R20"/>
    <mergeCell ref="E33:J33"/>
    <mergeCell ref="K35:N35"/>
    <mergeCell ref="E36:J36"/>
    <mergeCell ref="E32:J32"/>
    <mergeCell ref="E24:J24"/>
    <mergeCell ref="E29:J29"/>
    <mergeCell ref="Q29:R29"/>
    <mergeCell ref="Q24:R24"/>
    <mergeCell ref="K24:N24"/>
    <mergeCell ref="E38:J38"/>
    <mergeCell ref="AE61:AH61"/>
    <mergeCell ref="AK61:AL61"/>
    <mergeCell ref="C75:R75"/>
    <mergeCell ref="C77:R77"/>
    <mergeCell ref="C76:R76"/>
    <mergeCell ref="W79:X79"/>
    <mergeCell ref="C74:R74"/>
    <mergeCell ref="C78:R78"/>
    <mergeCell ref="E42:J42"/>
    <mergeCell ref="E45:J45"/>
    <mergeCell ref="E48:J48"/>
    <mergeCell ref="E51:J51"/>
    <mergeCell ref="W55:W56"/>
    <mergeCell ref="X55:AD56"/>
    <mergeCell ref="Q45:R45"/>
    <mergeCell ref="Q42:R42"/>
    <mergeCell ref="AA80:AB80"/>
    <mergeCell ref="E58:J58"/>
    <mergeCell ref="K58:N58"/>
    <mergeCell ref="Q58:R58"/>
    <mergeCell ref="Y80:Z80"/>
    <mergeCell ref="Q60:R60"/>
    <mergeCell ref="Q55:R55"/>
    <mergeCell ref="Q53:R53"/>
    <mergeCell ref="E53:J53"/>
    <mergeCell ref="K53:N53"/>
    <mergeCell ref="E55:J55"/>
    <mergeCell ref="K55:N55"/>
    <mergeCell ref="E60:J60"/>
    <mergeCell ref="K60:N60"/>
    <mergeCell ref="A64:R69"/>
    <mergeCell ref="E59:J59"/>
    <mergeCell ref="A70:R70"/>
    <mergeCell ref="K59:N59"/>
    <mergeCell ref="Q59:R59"/>
    <mergeCell ref="C80:D80"/>
    <mergeCell ref="E80:F80"/>
    <mergeCell ref="W80:X80"/>
    <mergeCell ref="C71:R71"/>
    <mergeCell ref="C72:R72"/>
    <mergeCell ref="C7:D7"/>
    <mergeCell ref="S17:U18"/>
    <mergeCell ref="E19:J19"/>
    <mergeCell ref="K19:N19"/>
    <mergeCell ref="K17:N18"/>
    <mergeCell ref="T9:U12"/>
    <mergeCell ref="P17:P18"/>
    <mergeCell ref="Q17:R18"/>
    <mergeCell ref="Q19:R19"/>
    <mergeCell ref="C17:D17"/>
    <mergeCell ref="O17:O18"/>
    <mergeCell ref="C11:S11"/>
    <mergeCell ref="Y7:Z7"/>
    <mergeCell ref="E30:J30"/>
    <mergeCell ref="Q31:R31"/>
    <mergeCell ref="K36:N36"/>
    <mergeCell ref="E37:J37"/>
    <mergeCell ref="K32:N32"/>
    <mergeCell ref="K37:N37"/>
    <mergeCell ref="Q37:R37"/>
    <mergeCell ref="K30:N30"/>
    <mergeCell ref="Q30:R30"/>
    <mergeCell ref="E31:J31"/>
    <mergeCell ref="K31:N31"/>
    <mergeCell ref="E17:J18"/>
    <mergeCell ref="T14:U16"/>
    <mergeCell ref="E25:J25"/>
    <mergeCell ref="E34:J34"/>
    <mergeCell ref="K34:N34"/>
    <mergeCell ref="Q34:R34"/>
    <mergeCell ref="E35:J35"/>
    <mergeCell ref="K29:N29"/>
    <mergeCell ref="K25:N25"/>
    <mergeCell ref="Q25:R25"/>
    <mergeCell ref="S29:S38"/>
    <mergeCell ref="K39:N39"/>
    <mergeCell ref="K42:N42"/>
    <mergeCell ref="K45:N45"/>
    <mergeCell ref="K48:N48"/>
    <mergeCell ref="K51:N51"/>
    <mergeCell ref="Q36:R36"/>
    <mergeCell ref="Q32:R32"/>
    <mergeCell ref="K33:N33"/>
    <mergeCell ref="Q33:R33"/>
    <mergeCell ref="K38:N38"/>
    <mergeCell ref="Q38:R38"/>
    <mergeCell ref="Q46:R46"/>
    <mergeCell ref="Q49:R49"/>
    <mergeCell ref="Q51:R51"/>
    <mergeCell ref="Q48:R48"/>
    <mergeCell ref="AI55:AI56"/>
    <mergeCell ref="AJ55:AJ56"/>
    <mergeCell ref="AK55:AL56"/>
    <mergeCell ref="Q39:R39"/>
    <mergeCell ref="Q35:R35"/>
    <mergeCell ref="AE62:AH62"/>
    <mergeCell ref="AK62:AL62"/>
    <mergeCell ref="AE57:AH57"/>
    <mergeCell ref="AK57:AL57"/>
    <mergeCell ref="X58:AD58"/>
    <mergeCell ref="AE58:AH58"/>
    <mergeCell ref="AK58:AL58"/>
    <mergeCell ref="X59:AD59"/>
    <mergeCell ref="AE59:AH59"/>
    <mergeCell ref="AK59:AL59"/>
    <mergeCell ref="X60:AD60"/>
    <mergeCell ref="AE60:AH60"/>
    <mergeCell ref="AK60:AL60"/>
    <mergeCell ref="X61:AD61"/>
    <mergeCell ref="X57:AD57"/>
    <mergeCell ref="X62:AD62"/>
    <mergeCell ref="AE55:AH56"/>
    <mergeCell ref="S39:U40"/>
    <mergeCell ref="S55:U55"/>
  </mergeCells>
  <pageMargins left="0.70866141732283472" right="0.15748031496062992" top="0.51181102362204722" bottom="0.43307086614173229" header="0.27559055118110237" footer="0.27559055118110237"/>
  <pageSetup paperSize="9" scale="75" pageOrder="overThenDown" orientation="portrait" r:id="rId1"/>
  <headerFooter alignWithMargins="0">
    <oddHeader>&amp;LPIRS Vorlagen-Projekt&amp;C&amp;8Project: Template&amp;R&amp;G</oddHeader>
    <oddFooter xml:space="preserve">&amp;L&amp;8 &amp;F _&amp;A&amp;R&amp;8Page &amp;P+8 of [&amp;N+8] </oddFoot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5"/>
  <dimension ref="A1:G104"/>
  <sheetViews>
    <sheetView topLeftCell="A85" workbookViewId="0">
      <selection activeCell="A103" sqref="A103:XFD103"/>
    </sheetView>
  </sheetViews>
  <sheetFormatPr defaultColWidth="9.140625" defaultRowHeight="12.75" x14ac:dyDescent="0.2"/>
  <cols>
    <col min="1" max="1" width="39.85546875" style="3" customWidth="1"/>
    <col min="2" max="2" width="85.7109375" style="3" customWidth="1"/>
    <col min="3" max="5" width="9.140625" style="4"/>
    <col min="6" max="6" width="29.42578125" style="4" customWidth="1"/>
    <col min="7" max="16384" width="9.140625" style="4"/>
  </cols>
  <sheetData>
    <row r="1" spans="1:6" ht="13.5" thickBot="1" x14ac:dyDescent="0.25">
      <c r="C1" s="4" t="s">
        <v>193</v>
      </c>
      <c r="D1" s="4" t="s">
        <v>194</v>
      </c>
      <c r="E1" s="4" t="s">
        <v>195</v>
      </c>
      <c r="F1" s="4" t="s">
        <v>196</v>
      </c>
    </row>
    <row r="2" spans="1:6" ht="13.5" thickBot="1" x14ac:dyDescent="0.25">
      <c r="A2" s="5" t="s">
        <v>203</v>
      </c>
      <c r="B2" s="6" t="s">
        <v>197</v>
      </c>
    </row>
    <row r="3" spans="1:6" ht="13.5" thickBot="1" x14ac:dyDescent="0.25">
      <c r="A3" s="7" t="s">
        <v>0</v>
      </c>
      <c r="B3" s="8" t="s">
        <v>100</v>
      </c>
      <c r="C3" s="4" t="s">
        <v>94</v>
      </c>
      <c r="D3" s="4" t="s">
        <v>95</v>
      </c>
      <c r="E3" s="4" t="s">
        <v>95</v>
      </c>
    </row>
    <row r="4" spans="1:6" ht="13.5" thickBot="1" x14ac:dyDescent="0.25">
      <c r="A4" s="9" t="s">
        <v>1</v>
      </c>
      <c r="B4" s="8" t="s">
        <v>101</v>
      </c>
      <c r="C4" s="4" t="s">
        <v>94</v>
      </c>
      <c r="D4" s="4" t="s">
        <v>95</v>
      </c>
      <c r="E4" s="4" t="s">
        <v>95</v>
      </c>
    </row>
    <row r="5" spans="1:6" ht="13.5" thickBot="1" x14ac:dyDescent="0.25">
      <c r="A5" s="9" t="s">
        <v>2</v>
      </c>
      <c r="B5" s="8" t="s">
        <v>102</v>
      </c>
      <c r="C5" s="4" t="s">
        <v>94</v>
      </c>
      <c r="D5" s="4" t="s">
        <v>95</v>
      </c>
      <c r="E5" s="4" t="s">
        <v>95</v>
      </c>
    </row>
    <row r="6" spans="1:6" ht="13.5" thickBot="1" x14ac:dyDescent="0.25">
      <c r="A6" s="9" t="s">
        <v>3</v>
      </c>
      <c r="B6" s="8" t="s">
        <v>103</v>
      </c>
      <c r="C6" s="4" t="s">
        <v>94</v>
      </c>
      <c r="D6" s="4" t="s">
        <v>95</v>
      </c>
      <c r="E6" s="4" t="s">
        <v>95</v>
      </c>
    </row>
    <row r="7" spans="1:6" ht="13.5" thickBot="1" x14ac:dyDescent="0.25">
      <c r="A7" s="9" t="s">
        <v>4</v>
      </c>
      <c r="B7" s="8" t="s">
        <v>104</v>
      </c>
      <c r="C7" s="4" t="s">
        <v>94</v>
      </c>
      <c r="D7" s="4" t="s">
        <v>95</v>
      </c>
      <c r="E7" s="4" t="s">
        <v>95</v>
      </c>
    </row>
    <row r="8" spans="1:6" ht="13.5" thickBot="1" x14ac:dyDescent="0.25">
      <c r="A8" s="7" t="s">
        <v>98</v>
      </c>
      <c r="B8" s="8" t="s">
        <v>105</v>
      </c>
      <c r="C8" s="4" t="s">
        <v>95</v>
      </c>
      <c r="D8" s="4" t="s">
        <v>95</v>
      </c>
      <c r="E8" s="4" t="s">
        <v>95</v>
      </c>
    </row>
    <row r="9" spans="1:6" ht="13.5" thickBot="1" x14ac:dyDescent="0.25">
      <c r="A9" s="9" t="s">
        <v>75</v>
      </c>
      <c r="B9" s="8" t="s">
        <v>106</v>
      </c>
      <c r="C9" s="4" t="s">
        <v>95</v>
      </c>
      <c r="D9" s="4" t="s">
        <v>95</v>
      </c>
      <c r="E9" s="4" t="s">
        <v>95</v>
      </c>
    </row>
    <row r="10" spans="1:6" ht="13.5" thickBot="1" x14ac:dyDescent="0.25">
      <c r="A10" s="9" t="s">
        <v>5</v>
      </c>
      <c r="B10" s="8" t="s">
        <v>107</v>
      </c>
      <c r="C10" s="4" t="s">
        <v>95</v>
      </c>
      <c r="D10" s="4" t="s">
        <v>95</v>
      </c>
      <c r="E10" s="4" t="s">
        <v>95</v>
      </c>
    </row>
    <row r="11" spans="1:6" ht="13.5" thickBot="1" x14ac:dyDescent="0.25">
      <c r="A11" s="9" t="s">
        <v>6</v>
      </c>
      <c r="B11" s="8" t="s">
        <v>108</v>
      </c>
      <c r="C11" s="4" t="s">
        <v>95</v>
      </c>
      <c r="D11" s="4" t="s">
        <v>95</v>
      </c>
      <c r="E11" s="4" t="s">
        <v>95</v>
      </c>
    </row>
    <row r="12" spans="1:6" ht="13.5" thickBot="1" x14ac:dyDescent="0.25">
      <c r="A12" s="9" t="s">
        <v>7</v>
      </c>
      <c r="B12" s="8" t="s">
        <v>109</v>
      </c>
      <c r="C12" s="4" t="s">
        <v>95</v>
      </c>
      <c r="D12" s="4" t="s">
        <v>95</v>
      </c>
      <c r="E12" s="4" t="s">
        <v>95</v>
      </c>
    </row>
    <row r="13" spans="1:6" ht="26.25" thickBot="1" x14ac:dyDescent="0.25">
      <c r="A13" s="7" t="s">
        <v>8</v>
      </c>
      <c r="B13" s="8" t="s">
        <v>110</v>
      </c>
      <c r="C13" s="4" t="s">
        <v>95</v>
      </c>
      <c r="D13" s="4" t="s">
        <v>94</v>
      </c>
      <c r="E13" s="4" t="s">
        <v>94</v>
      </c>
    </row>
    <row r="14" spans="1:6" ht="26.25" thickBot="1" x14ac:dyDescent="0.25">
      <c r="A14" s="9" t="s">
        <v>83</v>
      </c>
      <c r="B14" s="8" t="s">
        <v>111</v>
      </c>
      <c r="C14" s="4" t="s">
        <v>96</v>
      </c>
      <c r="D14" s="4" t="s">
        <v>94</v>
      </c>
      <c r="E14" s="4" t="s">
        <v>94</v>
      </c>
    </row>
    <row r="15" spans="1:6" ht="13.5" thickBot="1" x14ac:dyDescent="0.25">
      <c r="A15" s="9" t="s">
        <v>76</v>
      </c>
      <c r="B15" s="8" t="s">
        <v>112</v>
      </c>
      <c r="C15" s="4" t="s">
        <v>96</v>
      </c>
      <c r="D15" s="4" t="s">
        <v>94</v>
      </c>
      <c r="E15" s="4" t="s">
        <v>94</v>
      </c>
    </row>
    <row r="16" spans="1:6" ht="26.25" thickBot="1" x14ac:dyDescent="0.25">
      <c r="A16" s="9" t="s">
        <v>82</v>
      </c>
      <c r="B16" s="8" t="s">
        <v>113</v>
      </c>
      <c r="C16" s="4" t="s">
        <v>96</v>
      </c>
      <c r="D16" s="4" t="s">
        <v>94</v>
      </c>
      <c r="E16" s="4" t="s">
        <v>94</v>
      </c>
    </row>
    <row r="17" spans="1:5" ht="13.5" thickBot="1" x14ac:dyDescent="0.25">
      <c r="A17" s="9" t="s">
        <v>9</v>
      </c>
      <c r="B17" s="8" t="s">
        <v>114</v>
      </c>
      <c r="C17" s="4" t="s">
        <v>96</v>
      </c>
      <c r="D17" s="4" t="s">
        <v>94</v>
      </c>
      <c r="E17" s="4" t="s">
        <v>94</v>
      </c>
    </row>
    <row r="18" spans="1:5" ht="13.5" thickBot="1" x14ac:dyDescent="0.25">
      <c r="A18" s="9" t="s">
        <v>78</v>
      </c>
      <c r="B18" s="8" t="s">
        <v>115</v>
      </c>
      <c r="C18" s="4" t="s">
        <v>95</v>
      </c>
      <c r="D18" s="4" t="s">
        <v>94</v>
      </c>
      <c r="E18" s="4" t="s">
        <v>94</v>
      </c>
    </row>
    <row r="19" spans="1:5" ht="13.5" thickBot="1" x14ac:dyDescent="0.25">
      <c r="A19" s="9" t="s">
        <v>10</v>
      </c>
      <c r="B19" s="8" t="s">
        <v>116</v>
      </c>
      <c r="C19" s="4" t="s">
        <v>95</v>
      </c>
      <c r="D19" s="4" t="s">
        <v>94</v>
      </c>
      <c r="E19" s="4" t="s">
        <v>94</v>
      </c>
    </row>
    <row r="20" spans="1:5" ht="13.5" thickBot="1" x14ac:dyDescent="0.25">
      <c r="A20" s="9" t="s">
        <v>77</v>
      </c>
      <c r="B20" s="8" t="s">
        <v>117</v>
      </c>
      <c r="C20" s="4" t="s">
        <v>95</v>
      </c>
      <c r="D20" s="4" t="s">
        <v>94</v>
      </c>
      <c r="E20" s="4" t="s">
        <v>94</v>
      </c>
    </row>
    <row r="21" spans="1:5" ht="13.5" thickBot="1" x14ac:dyDescent="0.25">
      <c r="A21" s="9" t="s">
        <v>85</v>
      </c>
      <c r="B21" s="8" t="s">
        <v>118</v>
      </c>
      <c r="C21" s="4" t="s">
        <v>95</v>
      </c>
      <c r="D21" s="4" t="s">
        <v>94</v>
      </c>
      <c r="E21" s="4" t="s">
        <v>94</v>
      </c>
    </row>
    <row r="22" spans="1:5" ht="13.5" thickBot="1" x14ac:dyDescent="0.25">
      <c r="A22" s="9" t="s">
        <v>79</v>
      </c>
      <c r="B22" s="8" t="s">
        <v>119</v>
      </c>
      <c r="C22" s="4" t="s">
        <v>95</v>
      </c>
      <c r="D22" s="4" t="s">
        <v>94</v>
      </c>
      <c r="E22" s="4" t="s">
        <v>94</v>
      </c>
    </row>
    <row r="23" spans="1:5" ht="13.5" thickBot="1" x14ac:dyDescent="0.25">
      <c r="A23" s="9" t="s">
        <v>84</v>
      </c>
      <c r="B23" s="8" t="s">
        <v>120</v>
      </c>
      <c r="C23" s="4" t="s">
        <v>95</v>
      </c>
      <c r="D23" s="4" t="s">
        <v>94</v>
      </c>
      <c r="E23" s="4" t="s">
        <v>94</v>
      </c>
    </row>
    <row r="24" spans="1:5" ht="13.5" thickBot="1" x14ac:dyDescent="0.25">
      <c r="A24" s="9" t="s">
        <v>80</v>
      </c>
      <c r="B24" s="8" t="s">
        <v>121</v>
      </c>
      <c r="C24" s="4" t="s">
        <v>95</v>
      </c>
      <c r="D24" s="4" t="s">
        <v>94</v>
      </c>
      <c r="E24" s="4" t="s">
        <v>94</v>
      </c>
    </row>
    <row r="25" spans="1:5" ht="13.5" thickBot="1" x14ac:dyDescent="0.25">
      <c r="A25" s="9" t="s">
        <v>81</v>
      </c>
      <c r="B25" s="8" t="s">
        <v>122</v>
      </c>
      <c r="C25" s="4" t="s">
        <v>95</v>
      </c>
      <c r="D25" s="4" t="s">
        <v>94</v>
      </c>
      <c r="E25" s="4" t="s">
        <v>94</v>
      </c>
    </row>
    <row r="26" spans="1:5" ht="26.25" thickBot="1" x14ac:dyDescent="0.25">
      <c r="A26" s="9" t="s">
        <v>11</v>
      </c>
      <c r="B26" s="8" t="s">
        <v>123</v>
      </c>
      <c r="C26" s="4" t="s">
        <v>96</v>
      </c>
      <c r="D26" s="4" t="s">
        <v>94</v>
      </c>
      <c r="E26" s="4" t="s">
        <v>94</v>
      </c>
    </row>
    <row r="27" spans="1:5" ht="13.5" thickBot="1" x14ac:dyDescent="0.25">
      <c r="A27" s="7" t="s">
        <v>12</v>
      </c>
      <c r="B27" s="8" t="s">
        <v>124</v>
      </c>
      <c r="C27" s="4" t="s">
        <v>94</v>
      </c>
      <c r="D27" s="4" t="s">
        <v>95</v>
      </c>
      <c r="E27" s="4" t="s">
        <v>95</v>
      </c>
    </row>
    <row r="28" spans="1:5" ht="13.5" thickBot="1" x14ac:dyDescent="0.25">
      <c r="A28" s="9" t="s">
        <v>86</v>
      </c>
      <c r="B28" s="8" t="s">
        <v>125</v>
      </c>
      <c r="C28" s="4" t="s">
        <v>94</v>
      </c>
      <c r="D28" s="4" t="s">
        <v>95</v>
      </c>
      <c r="E28" s="4" t="s">
        <v>95</v>
      </c>
    </row>
    <row r="29" spans="1:5" ht="13.5" thickBot="1" x14ac:dyDescent="0.25">
      <c r="A29" s="9" t="s">
        <v>13</v>
      </c>
      <c r="B29" s="8" t="s">
        <v>126</v>
      </c>
      <c r="C29" s="4" t="s">
        <v>94</v>
      </c>
      <c r="D29" s="4" t="s">
        <v>95</v>
      </c>
      <c r="E29" s="4" t="s">
        <v>95</v>
      </c>
    </row>
    <row r="30" spans="1:5" ht="13.5" thickBot="1" x14ac:dyDescent="0.25">
      <c r="A30" s="9" t="s">
        <v>14</v>
      </c>
      <c r="B30" s="8" t="s">
        <v>127</v>
      </c>
      <c r="C30" s="4" t="s">
        <v>94</v>
      </c>
      <c r="D30" s="4" t="s">
        <v>95</v>
      </c>
      <c r="E30" s="4" t="s">
        <v>95</v>
      </c>
    </row>
    <row r="31" spans="1:5" ht="26.25" thickBot="1" x14ac:dyDescent="0.25">
      <c r="A31" s="9" t="s">
        <v>15</v>
      </c>
      <c r="B31" s="8" t="s">
        <v>128</v>
      </c>
      <c r="C31" s="4" t="s">
        <v>94</v>
      </c>
      <c r="D31" s="4" t="s">
        <v>95</v>
      </c>
      <c r="E31" s="4" t="s">
        <v>95</v>
      </c>
    </row>
    <row r="32" spans="1:5" ht="13.5" thickBot="1" x14ac:dyDescent="0.25">
      <c r="A32" s="9" t="s">
        <v>16</v>
      </c>
      <c r="B32" s="8" t="s">
        <v>129</v>
      </c>
      <c r="C32" s="4" t="s">
        <v>94</v>
      </c>
      <c r="D32" s="4" t="s">
        <v>95</v>
      </c>
      <c r="E32" s="4" t="s">
        <v>95</v>
      </c>
    </row>
    <row r="33" spans="1:5" ht="13.5" thickBot="1" x14ac:dyDescent="0.25">
      <c r="A33" s="9" t="s">
        <v>17</v>
      </c>
      <c r="B33" s="8" t="s">
        <v>130</v>
      </c>
      <c r="C33" s="4" t="s">
        <v>94</v>
      </c>
      <c r="D33" s="4" t="s">
        <v>95</v>
      </c>
      <c r="E33" s="4" t="s">
        <v>95</v>
      </c>
    </row>
    <row r="34" spans="1:5" ht="13.5" thickBot="1" x14ac:dyDescent="0.25">
      <c r="A34" s="9" t="s">
        <v>18</v>
      </c>
      <c r="B34" s="8" t="s">
        <v>131</v>
      </c>
      <c r="C34" s="4" t="s">
        <v>94</v>
      </c>
      <c r="D34" s="4" t="s">
        <v>95</v>
      </c>
      <c r="E34" s="4" t="s">
        <v>95</v>
      </c>
    </row>
    <row r="35" spans="1:5" ht="13.5" thickBot="1" x14ac:dyDescent="0.25">
      <c r="A35" s="9" t="s">
        <v>87</v>
      </c>
      <c r="B35" s="8" t="s">
        <v>132</v>
      </c>
      <c r="C35" s="4" t="s">
        <v>94</v>
      </c>
      <c r="D35" s="4" t="s">
        <v>95</v>
      </c>
      <c r="E35" s="4" t="s">
        <v>95</v>
      </c>
    </row>
    <row r="36" spans="1:5" ht="13.5" thickBot="1" x14ac:dyDescent="0.25">
      <c r="A36" s="9" t="s">
        <v>88</v>
      </c>
      <c r="B36" s="8" t="s">
        <v>133</v>
      </c>
      <c r="C36" s="4" t="s">
        <v>94</v>
      </c>
      <c r="D36" s="4" t="s">
        <v>95</v>
      </c>
      <c r="E36" s="4" t="s">
        <v>95</v>
      </c>
    </row>
    <row r="37" spans="1:5" ht="13.5" thickBot="1" x14ac:dyDescent="0.25">
      <c r="A37" s="9" t="s">
        <v>19</v>
      </c>
      <c r="B37" s="8" t="s">
        <v>134</v>
      </c>
      <c r="C37" s="4" t="s">
        <v>94</v>
      </c>
      <c r="D37" s="4" t="s">
        <v>95</v>
      </c>
      <c r="E37" s="4" t="s">
        <v>95</v>
      </c>
    </row>
    <row r="38" spans="1:5" ht="13.5" thickBot="1" x14ac:dyDescent="0.25">
      <c r="A38" s="10" t="s">
        <v>20</v>
      </c>
      <c r="B38" s="8" t="s">
        <v>135</v>
      </c>
      <c r="C38" s="4" t="s">
        <v>94</v>
      </c>
      <c r="D38" s="4" t="s">
        <v>95</v>
      </c>
      <c r="E38" s="4" t="s">
        <v>95</v>
      </c>
    </row>
    <row r="39" spans="1:5" ht="13.5" thickBot="1" x14ac:dyDescent="0.25">
      <c r="A39" s="9" t="s">
        <v>21</v>
      </c>
      <c r="B39" s="8" t="s">
        <v>136</v>
      </c>
      <c r="C39" s="4" t="s">
        <v>94</v>
      </c>
      <c r="D39" s="4" t="s">
        <v>95</v>
      </c>
      <c r="E39" s="4" t="s">
        <v>95</v>
      </c>
    </row>
    <row r="40" spans="1:5" ht="13.5" thickBot="1" x14ac:dyDescent="0.25">
      <c r="A40" s="10" t="s">
        <v>22</v>
      </c>
      <c r="B40" s="8" t="s">
        <v>137</v>
      </c>
      <c r="C40" s="4" t="s">
        <v>94</v>
      </c>
      <c r="D40" s="4" t="s">
        <v>95</v>
      </c>
      <c r="E40" s="4" t="s">
        <v>95</v>
      </c>
    </row>
    <row r="41" spans="1:5" ht="13.5" thickBot="1" x14ac:dyDescent="0.25">
      <c r="A41" s="7" t="s">
        <v>23</v>
      </c>
      <c r="B41" s="8" t="s">
        <v>138</v>
      </c>
      <c r="C41" s="4" t="s">
        <v>95</v>
      </c>
      <c r="D41" s="4" t="s">
        <v>94</v>
      </c>
      <c r="E41" s="4" t="s">
        <v>95</v>
      </c>
    </row>
    <row r="42" spans="1:5" ht="13.5" thickBot="1" x14ac:dyDescent="0.25">
      <c r="A42" s="9" t="s">
        <v>24</v>
      </c>
      <c r="B42" s="8"/>
      <c r="C42" s="4" t="s">
        <v>95</v>
      </c>
      <c r="D42" s="4" t="s">
        <v>94</v>
      </c>
      <c r="E42" s="4" t="s">
        <v>95</v>
      </c>
    </row>
    <row r="43" spans="1:5" ht="13.5" thickBot="1" x14ac:dyDescent="0.25">
      <c r="A43" s="9" t="s">
        <v>89</v>
      </c>
      <c r="B43" s="8" t="s">
        <v>139</v>
      </c>
      <c r="C43" s="4" t="s">
        <v>94</v>
      </c>
      <c r="D43" s="4" t="s">
        <v>94</v>
      </c>
      <c r="E43" s="4" t="s">
        <v>95</v>
      </c>
    </row>
    <row r="44" spans="1:5" ht="13.5" thickBot="1" x14ac:dyDescent="0.25">
      <c r="A44" s="9" t="s">
        <v>25</v>
      </c>
      <c r="B44" s="8"/>
      <c r="C44" s="4" t="s">
        <v>95</v>
      </c>
      <c r="D44" s="4" t="s">
        <v>94</v>
      </c>
      <c r="E44" s="4" t="s">
        <v>95</v>
      </c>
    </row>
    <row r="45" spans="1:5" ht="13.5" thickBot="1" x14ac:dyDescent="0.25">
      <c r="A45" s="9" t="s">
        <v>26</v>
      </c>
      <c r="B45" s="8"/>
      <c r="C45" s="4" t="s">
        <v>95</v>
      </c>
      <c r="D45" s="4" t="s">
        <v>94</v>
      </c>
      <c r="E45" s="4" t="s">
        <v>95</v>
      </c>
    </row>
    <row r="46" spans="1:5" ht="13.5" thickBot="1" x14ac:dyDescent="0.25">
      <c r="A46" s="9" t="s">
        <v>27</v>
      </c>
      <c r="B46" s="8" t="s">
        <v>140</v>
      </c>
      <c r="C46" s="4" t="s">
        <v>95</v>
      </c>
      <c r="D46" s="4" t="s">
        <v>94</v>
      </c>
      <c r="E46" s="4" t="s">
        <v>95</v>
      </c>
    </row>
    <row r="47" spans="1:5" ht="26.25" thickBot="1" x14ac:dyDescent="0.25">
      <c r="A47" s="9" t="s">
        <v>90</v>
      </c>
      <c r="B47" s="8" t="s">
        <v>141</v>
      </c>
      <c r="C47" s="4" t="s">
        <v>95</v>
      </c>
      <c r="D47" s="4" t="s">
        <v>94</v>
      </c>
      <c r="E47" s="4" t="s">
        <v>95</v>
      </c>
    </row>
    <row r="48" spans="1:5" ht="13.5" thickBot="1" x14ac:dyDescent="0.25">
      <c r="A48" s="9" t="s">
        <v>91</v>
      </c>
      <c r="B48" s="8" t="s">
        <v>142</v>
      </c>
      <c r="C48" s="4" t="s">
        <v>94</v>
      </c>
      <c r="D48" s="4" t="s">
        <v>94</v>
      </c>
      <c r="E48" s="4" t="s">
        <v>95</v>
      </c>
    </row>
    <row r="49" spans="1:5" ht="13.5" thickBot="1" x14ac:dyDescent="0.25">
      <c r="A49" s="9" t="s">
        <v>28</v>
      </c>
      <c r="B49" s="8" t="s">
        <v>143</v>
      </c>
      <c r="C49" s="4" t="s">
        <v>95</v>
      </c>
      <c r="D49" s="4" t="s">
        <v>94</v>
      </c>
      <c r="E49" s="4" t="s">
        <v>95</v>
      </c>
    </row>
    <row r="50" spans="1:5" ht="13.5" thickBot="1" x14ac:dyDescent="0.25">
      <c r="A50" s="9" t="s">
        <v>29</v>
      </c>
      <c r="B50" s="8"/>
      <c r="C50" s="4" t="s">
        <v>95</v>
      </c>
      <c r="D50" s="4" t="s">
        <v>94</v>
      </c>
      <c r="E50" s="4" t="s">
        <v>95</v>
      </c>
    </row>
    <row r="51" spans="1:5" ht="13.5" thickBot="1" x14ac:dyDescent="0.25">
      <c r="A51" s="9" t="s">
        <v>30</v>
      </c>
      <c r="B51" s="8"/>
      <c r="C51" s="4" t="s">
        <v>95</v>
      </c>
      <c r="D51" s="4" t="s">
        <v>94</v>
      </c>
      <c r="E51" s="4" t="s">
        <v>95</v>
      </c>
    </row>
    <row r="52" spans="1:5" ht="13.5" thickBot="1" x14ac:dyDescent="0.25">
      <c r="A52" s="9" t="s">
        <v>31</v>
      </c>
      <c r="B52" s="8" t="s">
        <v>144</v>
      </c>
      <c r="C52" s="4" t="s">
        <v>95</v>
      </c>
      <c r="D52" s="4" t="s">
        <v>94</v>
      </c>
      <c r="E52" s="4" t="s">
        <v>95</v>
      </c>
    </row>
    <row r="53" spans="1:5" ht="13.5" thickBot="1" x14ac:dyDescent="0.25">
      <c r="A53" s="9" t="s">
        <v>32</v>
      </c>
      <c r="B53" s="8"/>
      <c r="C53" s="4" t="s">
        <v>95</v>
      </c>
      <c r="D53" s="4" t="s">
        <v>94</v>
      </c>
      <c r="E53" s="4" t="s">
        <v>95</v>
      </c>
    </row>
    <row r="54" spans="1:5" ht="13.5" thickBot="1" x14ac:dyDescent="0.25">
      <c r="A54" s="9" t="s">
        <v>33</v>
      </c>
      <c r="B54" s="8"/>
      <c r="C54" s="4" t="s">
        <v>95</v>
      </c>
      <c r="D54" s="4" t="s">
        <v>94</v>
      </c>
      <c r="E54" s="4" t="s">
        <v>95</v>
      </c>
    </row>
    <row r="55" spans="1:5" ht="13.5" thickBot="1" x14ac:dyDescent="0.25">
      <c r="A55" s="9" t="s">
        <v>34</v>
      </c>
      <c r="B55" s="8"/>
      <c r="C55" s="4" t="s">
        <v>95</v>
      </c>
      <c r="D55" s="4" t="s">
        <v>94</v>
      </c>
      <c r="E55" s="4" t="s">
        <v>95</v>
      </c>
    </row>
    <row r="56" spans="1:5" ht="13.5" thickBot="1" x14ac:dyDescent="0.25">
      <c r="A56" s="7" t="s">
        <v>35</v>
      </c>
      <c r="B56" s="8" t="s">
        <v>145</v>
      </c>
      <c r="C56" s="4" t="s">
        <v>94</v>
      </c>
      <c r="D56" s="4" t="s">
        <v>95</v>
      </c>
      <c r="E56" s="4" t="s">
        <v>95</v>
      </c>
    </row>
    <row r="57" spans="1:5" ht="13.5" thickBot="1" x14ac:dyDescent="0.25">
      <c r="A57" s="9" t="s">
        <v>36</v>
      </c>
      <c r="B57" s="8" t="s">
        <v>146</v>
      </c>
      <c r="C57" s="4" t="s">
        <v>96</v>
      </c>
      <c r="D57" s="4" t="s">
        <v>95</v>
      </c>
      <c r="E57" s="4" t="s">
        <v>95</v>
      </c>
    </row>
    <row r="58" spans="1:5" ht="13.5" thickBot="1" x14ac:dyDescent="0.25">
      <c r="A58" s="9" t="s">
        <v>37</v>
      </c>
      <c r="B58" s="8" t="s">
        <v>147</v>
      </c>
      <c r="C58" s="4" t="s">
        <v>94</v>
      </c>
      <c r="D58" s="4" t="s">
        <v>95</v>
      </c>
      <c r="E58" s="4" t="s">
        <v>95</v>
      </c>
    </row>
    <row r="59" spans="1:5" ht="13.5" thickBot="1" x14ac:dyDescent="0.25">
      <c r="A59" s="9" t="s">
        <v>38</v>
      </c>
      <c r="B59" s="8" t="s">
        <v>148</v>
      </c>
      <c r="C59" s="4" t="s">
        <v>94</v>
      </c>
      <c r="D59" s="4" t="s">
        <v>95</v>
      </c>
      <c r="E59" s="4" t="s">
        <v>95</v>
      </c>
    </row>
    <row r="60" spans="1:5" ht="13.5" thickBot="1" x14ac:dyDescent="0.25">
      <c r="A60" s="9" t="s">
        <v>39</v>
      </c>
      <c r="B60" s="8" t="s">
        <v>149</v>
      </c>
      <c r="C60" s="4" t="s">
        <v>94</v>
      </c>
      <c r="D60" s="4" t="s">
        <v>95</v>
      </c>
      <c r="E60" s="4" t="s">
        <v>95</v>
      </c>
    </row>
    <row r="61" spans="1:5" ht="13.5" thickBot="1" x14ac:dyDescent="0.25">
      <c r="A61" s="9" t="s">
        <v>40</v>
      </c>
      <c r="B61" s="8" t="s">
        <v>150</v>
      </c>
      <c r="C61" s="4" t="s">
        <v>94</v>
      </c>
      <c r="D61" s="4" t="s">
        <v>95</v>
      </c>
      <c r="E61" s="4" t="s">
        <v>95</v>
      </c>
    </row>
    <row r="62" spans="1:5" ht="13.5" thickBot="1" x14ac:dyDescent="0.25">
      <c r="A62" s="9" t="s">
        <v>41</v>
      </c>
      <c r="B62" s="8" t="s">
        <v>151</v>
      </c>
      <c r="C62" s="4" t="s">
        <v>95</v>
      </c>
      <c r="D62" s="4" t="s">
        <v>95</v>
      </c>
      <c r="E62" s="4" t="s">
        <v>95</v>
      </c>
    </row>
    <row r="63" spans="1:5" ht="13.5" thickBot="1" x14ac:dyDescent="0.25">
      <c r="A63" s="9" t="s">
        <v>42</v>
      </c>
      <c r="B63" s="8" t="s">
        <v>152</v>
      </c>
      <c r="C63" s="4" t="s">
        <v>94</v>
      </c>
      <c r="D63" s="4" t="s">
        <v>95</v>
      </c>
      <c r="E63" s="4" t="s">
        <v>95</v>
      </c>
    </row>
    <row r="64" spans="1:5" ht="13.5" thickBot="1" x14ac:dyDescent="0.25">
      <c r="A64" s="7" t="s">
        <v>43</v>
      </c>
      <c r="B64" s="8" t="s">
        <v>153</v>
      </c>
      <c r="C64" s="4" t="s">
        <v>94</v>
      </c>
      <c r="D64" s="4" t="s">
        <v>95</v>
      </c>
      <c r="E64" s="4" t="s">
        <v>95</v>
      </c>
    </row>
    <row r="65" spans="1:7" ht="13.5" thickBot="1" x14ac:dyDescent="0.25">
      <c r="A65" s="7" t="s">
        <v>44</v>
      </c>
      <c r="B65" s="8" t="s">
        <v>154</v>
      </c>
      <c r="C65" s="4" t="s">
        <v>95</v>
      </c>
      <c r="D65" s="4" t="s">
        <v>95</v>
      </c>
      <c r="E65" s="4" t="s">
        <v>94</v>
      </c>
    </row>
    <row r="66" spans="1:7" ht="26.25" thickBot="1" x14ac:dyDescent="0.25">
      <c r="A66" s="9" t="s">
        <v>92</v>
      </c>
      <c r="B66" s="8" t="s">
        <v>155</v>
      </c>
      <c r="C66" s="4" t="s">
        <v>95</v>
      </c>
      <c r="D66" s="4" t="s">
        <v>95</v>
      </c>
      <c r="E66" s="4" t="s">
        <v>94</v>
      </c>
    </row>
    <row r="67" spans="1:7" ht="13.5" thickBot="1" x14ac:dyDescent="0.25">
      <c r="A67" s="9" t="s">
        <v>45</v>
      </c>
      <c r="B67" s="8" t="s">
        <v>156</v>
      </c>
      <c r="C67" s="4" t="s">
        <v>95</v>
      </c>
      <c r="D67" s="4" t="s">
        <v>94</v>
      </c>
      <c r="E67" s="4" t="s">
        <v>94</v>
      </c>
    </row>
    <row r="68" spans="1:7" ht="26.25" thickBot="1" x14ac:dyDescent="0.25">
      <c r="A68" s="9" t="s">
        <v>46</v>
      </c>
      <c r="B68" s="8" t="s">
        <v>157</v>
      </c>
      <c r="C68" s="4" t="s">
        <v>95</v>
      </c>
      <c r="D68" s="4" t="s">
        <v>94</v>
      </c>
      <c r="E68" s="4" t="s">
        <v>94</v>
      </c>
    </row>
    <row r="69" spans="1:7" ht="13.5" thickBot="1" x14ac:dyDescent="0.25">
      <c r="A69" s="9" t="s">
        <v>99</v>
      </c>
      <c r="B69" s="8" t="s">
        <v>158</v>
      </c>
      <c r="C69" s="4" t="s">
        <v>94</v>
      </c>
      <c r="D69" s="4" t="s">
        <v>95</v>
      </c>
      <c r="E69" s="4" t="s">
        <v>95</v>
      </c>
    </row>
    <row r="70" spans="1:7" ht="13.5" thickBot="1" x14ac:dyDescent="0.25">
      <c r="A70" s="7" t="s">
        <v>47</v>
      </c>
      <c r="B70" s="8" t="s">
        <v>159</v>
      </c>
      <c r="C70" s="4" t="s">
        <v>95</v>
      </c>
      <c r="D70" s="4" t="s">
        <v>95</v>
      </c>
      <c r="E70" s="4" t="s">
        <v>95</v>
      </c>
    </row>
    <row r="71" spans="1:7" ht="13.5" thickBot="1" x14ac:dyDescent="0.25">
      <c r="A71" s="9" t="s">
        <v>189</v>
      </c>
      <c r="B71" s="8" t="s">
        <v>190</v>
      </c>
      <c r="C71" s="4" t="s">
        <v>95</v>
      </c>
      <c r="D71" s="4" t="s">
        <v>95</v>
      </c>
      <c r="E71" s="4" t="s">
        <v>95</v>
      </c>
    </row>
    <row r="72" spans="1:7" ht="26.25" thickBot="1" x14ac:dyDescent="0.25">
      <c r="A72" s="9" t="s">
        <v>198</v>
      </c>
      <c r="B72" s="8" t="s">
        <v>199</v>
      </c>
      <c r="C72" s="4" t="s">
        <v>95</v>
      </c>
      <c r="D72" s="4" t="s">
        <v>95</v>
      </c>
      <c r="E72" s="4" t="s">
        <v>95</v>
      </c>
      <c r="G72" s="4" t="s">
        <v>200</v>
      </c>
    </row>
    <row r="73" spans="1:7" ht="26.25" thickBot="1" x14ac:dyDescent="0.25">
      <c r="A73" s="9" t="s">
        <v>201</v>
      </c>
      <c r="B73" s="8" t="s">
        <v>202</v>
      </c>
      <c r="C73" s="4" t="s">
        <v>95</v>
      </c>
      <c r="D73" s="4" t="s">
        <v>95</v>
      </c>
      <c r="E73" s="4" t="s">
        <v>95</v>
      </c>
      <c r="G73" s="4" t="s">
        <v>200</v>
      </c>
    </row>
    <row r="74" spans="1:7" ht="26.25" thickBot="1" x14ac:dyDescent="0.25">
      <c r="A74" s="9" t="s">
        <v>48</v>
      </c>
      <c r="B74" s="8" t="s">
        <v>160</v>
      </c>
      <c r="C74" s="4" t="s">
        <v>95</v>
      </c>
      <c r="D74" s="4" t="s">
        <v>95</v>
      </c>
      <c r="E74" s="4" t="s">
        <v>95</v>
      </c>
    </row>
    <row r="75" spans="1:7" ht="26.25" thickBot="1" x14ac:dyDescent="0.25">
      <c r="A75" s="9" t="s">
        <v>49</v>
      </c>
      <c r="B75" s="8" t="s">
        <v>161</v>
      </c>
      <c r="C75" s="4" t="s">
        <v>95</v>
      </c>
      <c r="D75" s="4" t="s">
        <v>95</v>
      </c>
      <c r="E75" s="4" t="s">
        <v>95</v>
      </c>
    </row>
    <row r="76" spans="1:7" ht="13.5" thickBot="1" x14ac:dyDescent="0.25">
      <c r="A76" s="9" t="s">
        <v>50</v>
      </c>
      <c r="B76" s="8" t="s">
        <v>162</v>
      </c>
      <c r="C76" s="4" t="s">
        <v>95</v>
      </c>
      <c r="D76" s="4" t="s">
        <v>95</v>
      </c>
      <c r="E76" s="4" t="s">
        <v>95</v>
      </c>
    </row>
    <row r="77" spans="1:7" ht="13.5" thickBot="1" x14ac:dyDescent="0.25">
      <c r="A77" s="7" t="s">
        <v>51</v>
      </c>
      <c r="B77" s="8" t="s">
        <v>163</v>
      </c>
      <c r="C77" s="4" t="s">
        <v>95</v>
      </c>
      <c r="D77" s="4" t="s">
        <v>95</v>
      </c>
      <c r="E77" s="4" t="s">
        <v>95</v>
      </c>
    </row>
    <row r="78" spans="1:7" ht="13.5" thickBot="1" x14ac:dyDescent="0.25">
      <c r="A78" s="9" t="s">
        <v>52</v>
      </c>
      <c r="B78" s="8" t="s">
        <v>164</v>
      </c>
      <c r="C78" s="4" t="s">
        <v>95</v>
      </c>
      <c r="D78" s="4" t="s">
        <v>95</v>
      </c>
      <c r="E78" s="4" t="s">
        <v>95</v>
      </c>
    </row>
    <row r="79" spans="1:7" ht="13.5" thickBot="1" x14ac:dyDescent="0.25">
      <c r="A79" s="9" t="s">
        <v>97</v>
      </c>
      <c r="B79" s="8" t="s">
        <v>165</v>
      </c>
      <c r="C79" s="4" t="s">
        <v>95</v>
      </c>
      <c r="D79" s="4" t="s">
        <v>95</v>
      </c>
      <c r="E79" s="4" t="s">
        <v>95</v>
      </c>
    </row>
    <row r="80" spans="1:7" ht="13.5" thickBot="1" x14ac:dyDescent="0.25">
      <c r="A80" s="9" t="s">
        <v>53</v>
      </c>
      <c r="B80" s="8" t="s">
        <v>166</v>
      </c>
      <c r="C80" s="4" t="s">
        <v>95</v>
      </c>
      <c r="D80" s="4" t="s">
        <v>95</v>
      </c>
      <c r="E80" s="4" t="s">
        <v>95</v>
      </c>
    </row>
    <row r="81" spans="1:5" ht="13.5" thickBot="1" x14ac:dyDescent="0.25">
      <c r="A81" s="9" t="s">
        <v>54</v>
      </c>
      <c r="B81" s="8" t="s">
        <v>167</v>
      </c>
      <c r="C81" s="4" t="s">
        <v>94</v>
      </c>
      <c r="D81" s="4" t="s">
        <v>95</v>
      </c>
      <c r="E81" s="4" t="s">
        <v>95</v>
      </c>
    </row>
    <row r="82" spans="1:5" ht="13.5" thickBot="1" x14ac:dyDescent="0.25">
      <c r="A82" s="9" t="s">
        <v>93</v>
      </c>
      <c r="B82" s="8" t="s">
        <v>168</v>
      </c>
      <c r="C82" s="4" t="s">
        <v>95</v>
      </c>
      <c r="D82" s="4" t="s">
        <v>95</v>
      </c>
      <c r="E82" s="4" t="s">
        <v>95</v>
      </c>
    </row>
    <row r="83" spans="1:5" ht="13.5" thickBot="1" x14ac:dyDescent="0.25">
      <c r="A83" s="9" t="s">
        <v>55</v>
      </c>
      <c r="B83" s="8" t="s">
        <v>169</v>
      </c>
      <c r="C83" s="4" t="s">
        <v>94</v>
      </c>
      <c r="D83" s="4" t="s">
        <v>95</v>
      </c>
      <c r="E83" s="4" t="s">
        <v>95</v>
      </c>
    </row>
    <row r="84" spans="1:5" ht="26.25" thickBot="1" x14ac:dyDescent="0.25">
      <c r="A84" s="9" t="s">
        <v>56</v>
      </c>
      <c r="B84" s="8" t="s">
        <v>170</v>
      </c>
      <c r="C84" s="4" t="s">
        <v>94</v>
      </c>
      <c r="D84" s="4" t="s">
        <v>95</v>
      </c>
      <c r="E84" s="4" t="s">
        <v>95</v>
      </c>
    </row>
    <row r="85" spans="1:5" ht="13.5" thickBot="1" x14ac:dyDescent="0.25">
      <c r="A85" s="9" t="s">
        <v>57</v>
      </c>
      <c r="B85" s="8" t="s">
        <v>171</v>
      </c>
      <c r="C85" s="4" t="s">
        <v>95</v>
      </c>
      <c r="D85" s="4" t="s">
        <v>95</v>
      </c>
      <c r="E85" s="4" t="s">
        <v>95</v>
      </c>
    </row>
    <row r="86" spans="1:5" ht="13.5" thickBot="1" x14ac:dyDescent="0.25">
      <c r="A86" s="7" t="s">
        <v>58</v>
      </c>
      <c r="B86" s="8" t="s">
        <v>172</v>
      </c>
      <c r="C86" s="4" t="s">
        <v>94</v>
      </c>
      <c r="D86" s="4" t="s">
        <v>94</v>
      </c>
      <c r="E86" s="4" t="s">
        <v>94</v>
      </c>
    </row>
    <row r="87" spans="1:5" ht="39" thickBot="1" x14ac:dyDescent="0.25">
      <c r="A87" s="9" t="s">
        <v>59</v>
      </c>
      <c r="B87" s="8" t="s">
        <v>173</v>
      </c>
      <c r="C87" s="4" t="s">
        <v>94</v>
      </c>
      <c r="D87" s="4" t="s">
        <v>94</v>
      </c>
      <c r="E87" s="4" t="s">
        <v>94</v>
      </c>
    </row>
    <row r="88" spans="1:5" ht="51.75" thickBot="1" x14ac:dyDescent="0.25">
      <c r="A88" s="9" t="s">
        <v>60</v>
      </c>
      <c r="B88" s="8" t="s">
        <v>174</v>
      </c>
      <c r="C88" s="4" t="s">
        <v>94</v>
      </c>
      <c r="D88" s="4" t="s">
        <v>94</v>
      </c>
      <c r="E88" s="4" t="s">
        <v>94</v>
      </c>
    </row>
    <row r="89" spans="1:5" ht="51.75" thickBot="1" x14ac:dyDescent="0.25">
      <c r="A89" s="9" t="s">
        <v>61</v>
      </c>
      <c r="B89" s="8" t="s">
        <v>175</v>
      </c>
      <c r="C89" s="4" t="s">
        <v>94</v>
      </c>
      <c r="D89" s="4" t="s">
        <v>94</v>
      </c>
      <c r="E89" s="4" t="s">
        <v>94</v>
      </c>
    </row>
    <row r="90" spans="1:5" ht="64.5" thickBot="1" x14ac:dyDescent="0.25">
      <c r="A90" s="9" t="s">
        <v>62</v>
      </c>
      <c r="B90" s="8" t="s">
        <v>176</v>
      </c>
      <c r="C90" s="4" t="s">
        <v>94</v>
      </c>
      <c r="D90" s="4" t="s">
        <v>94</v>
      </c>
      <c r="E90" s="4" t="s">
        <v>94</v>
      </c>
    </row>
    <row r="91" spans="1:5" ht="13.5" thickBot="1" x14ac:dyDescent="0.25">
      <c r="A91" s="9" t="s">
        <v>63</v>
      </c>
      <c r="B91" s="8" t="s">
        <v>177</v>
      </c>
      <c r="C91" s="4" t="s">
        <v>94</v>
      </c>
      <c r="D91" s="4" t="s">
        <v>94</v>
      </c>
      <c r="E91" s="4" t="s">
        <v>94</v>
      </c>
    </row>
    <row r="92" spans="1:5" ht="13.5" thickBot="1" x14ac:dyDescent="0.25">
      <c r="A92" s="9" t="s">
        <v>191</v>
      </c>
      <c r="B92" s="8" t="s">
        <v>192</v>
      </c>
      <c r="C92" s="4" t="s">
        <v>94</v>
      </c>
      <c r="D92" s="4" t="s">
        <v>94</v>
      </c>
      <c r="E92" s="4" t="s">
        <v>94</v>
      </c>
    </row>
    <row r="93" spans="1:5" ht="26.25" thickBot="1" x14ac:dyDescent="0.25">
      <c r="A93" s="9" t="s">
        <v>64</v>
      </c>
      <c r="B93" s="8" t="s">
        <v>178</v>
      </c>
      <c r="C93" s="4" t="s">
        <v>95</v>
      </c>
      <c r="D93" s="4" t="s">
        <v>95</v>
      </c>
      <c r="E93" s="4" t="s">
        <v>95</v>
      </c>
    </row>
    <row r="94" spans="1:5" ht="26.25" thickBot="1" x14ac:dyDescent="0.25">
      <c r="A94" s="9" t="s">
        <v>65</v>
      </c>
      <c r="B94" s="8" t="s">
        <v>179</v>
      </c>
      <c r="C94" s="4" t="s">
        <v>94</v>
      </c>
      <c r="D94" s="4" t="s">
        <v>94</v>
      </c>
      <c r="E94" s="4" t="s">
        <v>94</v>
      </c>
    </row>
    <row r="95" spans="1:5" ht="26.25" thickBot="1" x14ac:dyDescent="0.25">
      <c r="A95" s="9" t="s">
        <v>66</v>
      </c>
      <c r="B95" s="8" t="s">
        <v>180</v>
      </c>
      <c r="C95" s="4" t="s">
        <v>94</v>
      </c>
      <c r="D95" s="4" t="s">
        <v>94</v>
      </c>
      <c r="E95" s="4" t="s">
        <v>94</v>
      </c>
    </row>
    <row r="96" spans="1:5" ht="13.5" thickBot="1" x14ac:dyDescent="0.25">
      <c r="A96" s="7" t="s">
        <v>67</v>
      </c>
      <c r="B96" s="8" t="s">
        <v>181</v>
      </c>
      <c r="C96" s="4" t="s">
        <v>94</v>
      </c>
      <c r="D96" s="4" t="s">
        <v>95</v>
      </c>
      <c r="E96" s="4" t="s">
        <v>95</v>
      </c>
    </row>
    <row r="97" spans="1:5" ht="13.5" thickBot="1" x14ac:dyDescent="0.25">
      <c r="A97" s="9" t="s">
        <v>68</v>
      </c>
      <c r="B97" s="8" t="s">
        <v>182</v>
      </c>
      <c r="C97" s="4" t="s">
        <v>94</v>
      </c>
      <c r="D97" s="4" t="s">
        <v>95</v>
      </c>
      <c r="E97" s="4" t="s">
        <v>95</v>
      </c>
    </row>
    <row r="98" spans="1:5" ht="13.5" thickBot="1" x14ac:dyDescent="0.25">
      <c r="A98" s="9" t="s">
        <v>69</v>
      </c>
      <c r="B98" s="8" t="s">
        <v>183</v>
      </c>
      <c r="C98" s="4" t="s">
        <v>94</v>
      </c>
      <c r="D98" s="4" t="s">
        <v>95</v>
      </c>
      <c r="E98" s="4" t="s">
        <v>95</v>
      </c>
    </row>
    <row r="99" spans="1:5" ht="26.25" thickBot="1" x14ac:dyDescent="0.25">
      <c r="A99" s="9" t="s">
        <v>70</v>
      </c>
      <c r="B99" s="8" t="s">
        <v>184</v>
      </c>
      <c r="C99" s="4" t="s">
        <v>94</v>
      </c>
      <c r="D99" s="4" t="s">
        <v>95</v>
      </c>
      <c r="E99" s="4" t="s">
        <v>95</v>
      </c>
    </row>
    <row r="100" spans="1:5" ht="26.25" thickBot="1" x14ac:dyDescent="0.25">
      <c r="A100" s="9" t="s">
        <v>71</v>
      </c>
      <c r="B100" s="8" t="s">
        <v>185</v>
      </c>
      <c r="C100" s="4" t="s">
        <v>94</v>
      </c>
      <c r="D100" s="4" t="s">
        <v>95</v>
      </c>
      <c r="E100" s="4" t="s">
        <v>95</v>
      </c>
    </row>
    <row r="101" spans="1:5" ht="13.5" thickBot="1" x14ac:dyDescent="0.25">
      <c r="A101" s="9" t="s">
        <v>72</v>
      </c>
      <c r="B101" s="8" t="s">
        <v>186</v>
      </c>
      <c r="C101" s="4" t="s">
        <v>95</v>
      </c>
      <c r="D101" s="4" t="s">
        <v>95</v>
      </c>
      <c r="E101" s="4" t="s">
        <v>95</v>
      </c>
    </row>
    <row r="102" spans="1:5" ht="26.25" thickBot="1" x14ac:dyDescent="0.25">
      <c r="A102" s="9" t="s">
        <v>73</v>
      </c>
      <c r="B102" s="8" t="s">
        <v>187</v>
      </c>
      <c r="C102" s="4" t="s">
        <v>94</v>
      </c>
      <c r="D102" s="4" t="s">
        <v>95</v>
      </c>
      <c r="E102" s="4" t="s">
        <v>95</v>
      </c>
    </row>
    <row r="103" spans="1:5" ht="51.75" thickBot="1" x14ac:dyDescent="0.25">
      <c r="A103" s="11" t="s">
        <v>205</v>
      </c>
      <c r="B103" s="12" t="s">
        <v>204</v>
      </c>
      <c r="C103" t="s">
        <v>94</v>
      </c>
      <c r="D103" t="s">
        <v>95</v>
      </c>
      <c r="E103" t="s">
        <v>95</v>
      </c>
    </row>
    <row r="104" spans="1:5" ht="13.5" thickBot="1" x14ac:dyDescent="0.25">
      <c r="A104" s="9" t="s">
        <v>74</v>
      </c>
      <c r="B104" s="8" t="s">
        <v>188</v>
      </c>
      <c r="C104" s="4" t="s">
        <v>94</v>
      </c>
      <c r="D104" s="4" t="s">
        <v>95</v>
      </c>
      <c r="E104" s="4" t="s">
        <v>95</v>
      </c>
    </row>
  </sheetData>
  <autoFilter ref="A1:F142" xr:uid="{00000000-0009-0000-0000-000012000000}"/>
  <pageMargins left="0.7" right="0.7" top="0.75" bottom="0.75" header="0.3" footer="0.3"/>
  <pageSetup paperSize="9" orientation="portrait" verticalDpi="0" r:id="rId1"/>
  <headerFooter>
    <oddHeader>&amp;C&amp;8Print date &amp;D; &amp;T&amp;LPIRS Vorlagen-Projekt&amp;R&amp;G</oddHeader>
    <oddFooter>&amp;L&amp;8 &amp;F _Makro Werte Dok Typ&amp;R&amp;8Page &amp;P of &amp;N</oddFooter>
  </headerFooter>
  <legacyDrawingHF r:id="rId2"/>
</worksheet>
</file>

<file path=customUI/customUI.xml><?xml version="1.0" encoding="utf-8"?>
<!-- TestCUI by daba [Office 2010] -->
<customUI xmlns="http://schemas.microsoft.com/office/2006/01/customui">
  <ribbon>
    <tabs>
      <tab id="myTab" label="HZI Commands">
        <group id="myGroup" label="Import New Data">
          <button id="rev00" imageMso="FileNewDefault" size="large" label="Rev00" onAction="HZI_rev00_formular"/>
          <button id="rev01" imageMso="ReviewCompareMenu" size="large" label="Rev01 and higher" onAction="HZI_rev01_formular"/>
        </group>
        <group id="Makro" label="Makros">
          <button id="Import_Makros" imageMso="CodeEdit" size="large" label="Import Macros from old File" onAction="HZI_Makros_Import"/>
        </group>
      </tab>
    </tabs>
  </ribbon>
</customUI>
</file>

<file path=customUI/customUI14.xml><?xml version="1.0" encoding="utf-8"?>
<!-- TestCUI by daba [Office 2010] -->
<customUI xmlns="http://schemas.microsoft.com/office/2009/07/customui">
  <ribbon>
    <tabs>
      <tab id="myTab" label="HZI Commands">
        <group id="myGroup" label="Import New Data">
          <button id="rev00" imageMso="FileNewDefault" size="large" label="Rev00" onAction="HZI_rev00_formular"/>
          <button id="rev01" imageMso="ReviewCompareMenu" size="large" label="Rev01 and higher" onAction="HZI_rev01_formular"/>
        </group>
        <group id="Makro" label="Makros">
          <button id="Import_Makros" imageMso="CodeEdit" size="large" label="Import Macros from old File" onAction="HZI_Makros_Import"/>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975560CBB1BE44DB397F4E9643AA3C1" ma:contentTypeVersion="11" ma:contentTypeDescription="Create a new document." ma:contentTypeScope="" ma:versionID="ad91f29ac4c9268b91c65583294fa13b">
  <xsd:schema xmlns:xsd="http://www.w3.org/2001/XMLSchema" xmlns:xs="http://www.w3.org/2001/XMLSchema" xmlns:p="http://schemas.microsoft.com/office/2006/metadata/properties" xmlns:ns3="378acd5d-df48-4859-a53d-3f09157e7d71" targetNamespace="http://schemas.microsoft.com/office/2006/metadata/properties" ma:root="true" ma:fieldsID="50f8cb7bbb837ff8bb229fcaeae1ffef" ns3:_="">
    <xsd:import namespace="378acd5d-df48-4859-a53d-3f09157e7d71"/>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LengthInSeconds"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78acd5d-df48-4859-a53d-3f09157e7d7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80B509A-DC34-493E-8220-E6A73F3B2CD6}">
  <ds:schemaRefs>
    <ds:schemaRef ds:uri="http://schemas.microsoft.com/sharepoint/v3/contenttype/forms"/>
  </ds:schemaRefs>
</ds:datastoreItem>
</file>

<file path=customXml/itemProps2.xml><?xml version="1.0" encoding="utf-8"?>
<ds:datastoreItem xmlns:ds="http://schemas.openxmlformats.org/officeDocument/2006/customXml" ds:itemID="{5A194147-260F-4585-B3A7-82053CAFAEE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78acd5d-df48-4859-a53d-3f09157e7d7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0874392-5142-4B96-84C5-82FEB079F6CE}">
  <ds:schemaRefs>
    <ds:schemaRef ds:uri="http://schemas.microsoft.com/office/2006/documentManagement/types"/>
    <ds:schemaRef ds:uri="http://purl.org/dc/elements/1.1/"/>
    <ds:schemaRef ds:uri="http://schemas.openxmlformats.org/package/2006/metadata/core-properties"/>
    <ds:schemaRef ds:uri="http://purl.org/dc/dcmitype/"/>
    <ds:schemaRef ds:uri="http://schemas.microsoft.com/office/infopath/2007/PartnerControls"/>
    <ds:schemaRef ds:uri="http://purl.org/dc/terms/"/>
    <ds:schemaRef ds:uri="378acd5d-df48-4859-a53d-3f09157e7d71"/>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Class ECCB</vt:lpstr>
      <vt:lpstr>Class ECDB</vt:lpstr>
      <vt:lpstr>Class ECDD</vt:lpstr>
      <vt:lpstr>Class ECEB</vt:lpstr>
      <vt:lpstr>Class ECFB</vt:lpstr>
      <vt:lpstr>Class ECHB</vt:lpstr>
      <vt:lpstr>Class ECJB</vt:lpstr>
      <vt:lpstr>Class ECGA</vt:lpstr>
      <vt:lpstr>Class ECHA</vt:lpstr>
      <vt:lpstr>Class EDHA</vt:lpstr>
      <vt:lpstr>Class EDJA</vt:lpstr>
      <vt:lpstr>Class EDFC</vt:lpstr>
      <vt:lpstr>Class EDHC</vt:lpstr>
      <vt:lpstr>Class EDJC</vt:lpstr>
      <vt:lpstr>Class EBDB</vt:lpstr>
      <vt:lpstr>Class EHDH</vt:lpstr>
      <vt:lpstr>Makro Werte Dok Typ</vt:lpstr>
      <vt:lpstr>bezeichnung</vt:lpstr>
      <vt:lpstr>doktyp</vt:lpstr>
      <vt:lpstr>excelDatei</vt:lpstr>
      <vt:lpstr>lieferant</vt:lpstr>
      <vt:lpstr>'Class EBDB'!Print_Area</vt:lpstr>
      <vt:lpstr>'Class ECCB'!Print_Area</vt:lpstr>
      <vt:lpstr>'Class ECDB'!Print_Area</vt:lpstr>
      <vt:lpstr>'Class ECDD'!Print_Area</vt:lpstr>
      <vt:lpstr>'Class ECEB'!Print_Area</vt:lpstr>
      <vt:lpstr>'Class ECFB'!Print_Area</vt:lpstr>
      <vt:lpstr>'Class ECGA'!Print_Area</vt:lpstr>
      <vt:lpstr>'Class ECHA'!Print_Area</vt:lpstr>
      <vt:lpstr>'Class ECHB'!Print_Area</vt:lpstr>
      <vt:lpstr>'Class ECJB'!Print_Area</vt:lpstr>
      <vt:lpstr>'Class EDFC'!Print_Area</vt:lpstr>
      <vt:lpstr>'Class EDHA'!Print_Area</vt:lpstr>
      <vt:lpstr>'Class EDHC'!Print_Area</vt:lpstr>
      <vt:lpstr>'Class EDJA'!Print_Area</vt:lpstr>
      <vt:lpstr>'Class EDJC'!Print_Area</vt:lpstr>
      <vt:lpstr>'Class EHDH'!Print_Area</vt:lpstr>
      <vt:lpstr>spezifisch</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Delavy, Dominique</dc:creator>
  <cp:keywords/>
  <dc:description/>
  <cp:lastModifiedBy>Sziva, Laszlo</cp:lastModifiedBy>
  <cp:lastPrinted>2023-12-21T08:06:40Z</cp:lastPrinted>
  <dcterms:created xsi:type="dcterms:W3CDTF">2010-09-21T10:38:39Z</dcterms:created>
  <dcterms:modified xsi:type="dcterms:W3CDTF">2025-06-06T11:13:53Z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jektnummer">
    <vt:lpwstr>P-9999</vt:lpwstr>
  </property>
  <property fmtid="{D5CDD505-2E9C-101B-9397-08002B2CF9AE}" pid="3" name="Projektname">
    <vt:lpwstr>Vorlagen-Projekt</vt:lpwstr>
  </property>
  <property fmtid="{D5CDD505-2E9C-101B-9397-08002B2CF9AE}" pid="4" name="Revision">
    <vt:lpwstr>V02</vt:lpwstr>
  </property>
  <property fmtid="{D5CDD505-2E9C-101B-9397-08002B2CF9AE}" pid="5" name="AIC">
    <vt:lpwstr/>
  </property>
  <property fmtid="{D5CDD505-2E9C-101B-9397-08002B2CF9AE}" pid="6" name="Quelle">
    <vt:lpwstr>PIRS2</vt:lpwstr>
  </property>
  <property fmtid="{D5CDD505-2E9C-101B-9397-08002B2CF9AE}" pid="7" name="Status">
    <vt:lpwstr>Vorlagen-Projekt</vt:lpwstr>
  </property>
  <property fmtid="{D5CDD505-2E9C-101B-9397-08002B2CF9AE}" pid="8" name="Ursprungsdokument">
    <vt:lpwstr>PxxxxTD000005</vt:lpwstr>
  </property>
  <property fmtid="{D5CDD505-2E9C-101B-9397-08002B2CF9AE}" pid="9" name="Startmaske anzeigen">
    <vt:lpwstr>nein</vt:lpwstr>
  </property>
  <property fmtid="{D5CDD505-2E9C-101B-9397-08002B2CF9AE}" pid="10" name="Maske mit Doktyp zeigen">
    <vt:lpwstr>nein</vt:lpwstr>
  </property>
  <property fmtid="{D5CDD505-2E9C-101B-9397-08002B2CF9AE}" pid="11" name="Interne Revisionen">
    <vt:lpwstr>nein</vt:lpwstr>
  </property>
  <property fmtid="{D5CDD505-2E9C-101B-9397-08002B2CF9AE}" pid="12" name="Author">
    <vt:lpwstr>BEG</vt:lpwstr>
  </property>
  <property fmtid="{D5CDD505-2E9C-101B-9397-08002B2CF9AE}" pid="13" name="Reviewer">
    <vt:lpwstr/>
  </property>
  <property fmtid="{D5CDD505-2E9C-101B-9397-08002B2CF9AE}" pid="14" name="Approver">
    <vt:lpwstr>BEG</vt:lpwstr>
  </property>
  <property fmtid="{D5CDD505-2E9C-101B-9397-08002B2CF9AE}" pid="15" name="Rev Date">
    <vt:lpwstr>07.07.2014</vt:lpwstr>
  </property>
  <property fmtid="{D5CDD505-2E9C-101B-9397-08002B2CF9AE}" pid="16" name="Doc Number">
    <vt:lpwstr>99000171</vt:lpwstr>
  </property>
  <property fmtid="{D5CDD505-2E9C-101B-9397-08002B2CF9AE}" pid="17" name="Sprache">
    <vt:lpwstr>EN</vt:lpwstr>
  </property>
  <property fmtid="{D5CDD505-2E9C-101B-9397-08002B2CF9AE}" pid="18" name="Supplier">
    <vt:lpwstr>HZI</vt:lpwstr>
  </property>
  <property fmtid="{D5CDD505-2E9C-101B-9397-08002B2CF9AE}" pid="19" name="Title">
    <vt:lpwstr>TII Pipe Class Manual WSC, Sheets</vt:lpwstr>
  </property>
  <property fmtid="{D5CDD505-2E9C-101B-9397-08002B2CF9AE}" pid="20" name="Text schwarz auf Titelblatt">
    <vt:lpwstr>ja</vt:lpwstr>
  </property>
  <property fmtid="{D5CDD505-2E9C-101B-9397-08002B2CF9AE}" pid="21" name="DocType und Supplier vor Nummer anzeigen">
    <vt:lpwstr>nein</vt:lpwstr>
  </property>
  <property fmtid="{D5CDD505-2E9C-101B-9397-08002B2CF9AE}" pid="22" name="RevType">
    <vt:lpwstr>intern</vt:lpwstr>
  </property>
  <property fmtid="{D5CDD505-2E9C-101B-9397-08002B2CF9AE}" pid="23" name="AIC maske anzeigen">
    <vt:lpwstr>nein</vt:lpwstr>
  </property>
  <property fmtid="{D5CDD505-2E9C-101B-9397-08002B2CF9AE}" pid="24" name="Reviewer EL">
    <vt:lpwstr>  </vt:lpwstr>
  </property>
  <property fmtid="{D5CDD505-2E9C-101B-9397-08002B2CF9AE}" pid="25" name="Document Type">
    <vt:lpwstr>TII</vt:lpwstr>
  </property>
  <property fmtid="{D5CDD505-2E9C-101B-9397-08002B2CF9AE}" pid="26" name="Makro kopieren Variable">
    <vt:lpwstr>-</vt:lpwstr>
  </property>
  <property fmtid="{D5CDD505-2E9C-101B-9397-08002B2CF9AE}" pid="27" name="ContentTypeId">
    <vt:lpwstr>0x010100B975560CBB1BE44DB397F4E9643AA3C1</vt:lpwstr>
  </property>
  <property fmtid="{D5CDD505-2E9C-101B-9397-08002B2CF9AE}" pid="28" name="MSIP_Label_7a8add4a-52ba-446e-adca-9552cc6d63d1_Enabled">
    <vt:lpwstr>true</vt:lpwstr>
  </property>
  <property fmtid="{D5CDD505-2E9C-101B-9397-08002B2CF9AE}" pid="29" name="MSIP_Label_7a8add4a-52ba-446e-adca-9552cc6d63d1_SetDate">
    <vt:lpwstr>2023-08-08T12:58:45Z</vt:lpwstr>
  </property>
  <property fmtid="{D5CDD505-2E9C-101B-9397-08002B2CF9AE}" pid="30" name="MSIP_Label_7a8add4a-52ba-446e-adca-9552cc6d63d1_Method">
    <vt:lpwstr>Standard</vt:lpwstr>
  </property>
  <property fmtid="{D5CDD505-2E9C-101B-9397-08002B2CF9AE}" pid="31" name="MSIP_Label_7a8add4a-52ba-446e-adca-9552cc6d63d1_Name">
    <vt:lpwstr>Restricted</vt:lpwstr>
  </property>
  <property fmtid="{D5CDD505-2E9C-101B-9397-08002B2CF9AE}" pid="32" name="MSIP_Label_7a8add4a-52ba-446e-adca-9552cc6d63d1_SiteId">
    <vt:lpwstr>34c07ccb-0a1e-496e-a316-3284040bb923</vt:lpwstr>
  </property>
  <property fmtid="{D5CDD505-2E9C-101B-9397-08002B2CF9AE}" pid="33" name="MSIP_Label_7a8add4a-52ba-446e-adca-9552cc6d63d1_ActionId">
    <vt:lpwstr>7fcbf181-5504-4538-b595-a05abcaa09a0</vt:lpwstr>
  </property>
  <property fmtid="{D5CDD505-2E9C-101B-9397-08002B2CF9AE}" pid="34" name="MSIP_Label_7a8add4a-52ba-446e-adca-9552cc6d63d1_ContentBits">
    <vt:lpwstr>0</vt:lpwstr>
  </property>
</Properties>
</file>